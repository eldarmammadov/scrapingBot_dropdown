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0490" windowHeight="7755" tabRatio="600" firstSheet="0" activeTab="0" autoFilterDateGrouping="1"/>
  </bookViews>
  <sheets>
    <sheet xmlns:r="http://schemas.openxmlformats.org/officeDocument/2006/relationships" name="Sheet1" sheetId="1" state="visible" r:id="rId1"/>
  </sheets>
  <definedNames/>
  <calcPr calcId="152511" fullCalcOnLoad="1"/>
</workbook>
</file>

<file path=xl/styles.xml><?xml version="1.0" encoding="utf-8"?>
<styleSheet xmlns="http://schemas.openxmlformats.org/spreadsheetml/2006/main">
  <numFmts count="1">
    <numFmt numFmtId="164" formatCode="0000000000000"/>
  </numFmts>
  <fonts count="4">
    <font>
      <name val="Calibri"/>
      <family val="2"/>
      <color theme="1"/>
      <sz val="11"/>
      <scheme val="minor"/>
    </font>
    <font>
      <name val="Calibri"/>
      <family val="2"/>
      <b val="1"/>
      <sz val="11"/>
    </font>
    <font>
      <name val="Calibri"/>
      <family val="2"/>
      <color rgb="FFFF0000"/>
      <sz val="11"/>
      <scheme val="minor"/>
    </font>
    <font>
      <name val="Calibri"/>
      <family val="2"/>
      <color rgb="FF000000"/>
      <sz val="11"/>
      <scheme val="minor"/>
    </font>
  </fonts>
  <fills count="7">
    <fill>
      <patternFill/>
    </fill>
    <fill>
      <patternFill patternType="gray125"/>
    </fill>
    <fill>
      <patternFill patternType="solid">
        <fgColor theme="3" tint="0.5999938962981048"/>
        <bgColor indexed="64"/>
      </patternFill>
    </fill>
    <fill>
      <patternFill patternType="solid">
        <fgColor theme="5"/>
        <bgColor indexed="64"/>
      </patternFill>
    </fill>
    <fill>
      <patternFill patternType="solid">
        <fgColor theme="6" tint="0.5999938962981048"/>
        <bgColor indexed="64"/>
      </patternFill>
    </fill>
    <fill>
      <patternFill patternType="solid">
        <fgColor rgb="FFFFFF00"/>
        <bgColor indexed="64"/>
      </patternFill>
    </fill>
    <fill>
      <patternFill patternType="solid">
        <fgColor theme="2" tint="-0.24997711111789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s>
  <cellStyleXfs count="1">
    <xf numFmtId="0" fontId="0" fillId="0" borderId="0"/>
  </cellStyleXfs>
  <cellXfs count="31">
    <xf numFmtId="0" fontId="0" fillId="0" borderId="0" pivotButton="0" quotePrefix="0" xfId="0"/>
    <xf numFmtId="0" fontId="1" fillId="0" borderId="1" applyAlignment="1" pivotButton="0" quotePrefix="0" xfId="0">
      <alignment horizontal="center" vertical="top"/>
    </xf>
    <xf numFmtId="0" fontId="1" fillId="0" borderId="2" applyAlignment="1" pivotButton="0" quotePrefix="0" xfId="0">
      <alignment horizontal="center" vertical="top"/>
    </xf>
    <xf numFmtId="164" fontId="0" fillId="0" borderId="0" pivotButton="0" quotePrefix="0" xfId="0"/>
    <xf numFmtId="0" fontId="0" fillId="0" borderId="4" pivotButton="0" quotePrefix="0" xfId="0"/>
    <xf numFmtId="0" fontId="0" fillId="0" borderId="5" applyAlignment="1" pivotButton="0" quotePrefix="0" xfId="0">
      <alignment vertical="center"/>
    </xf>
    <xf numFmtId="0" fontId="1" fillId="0" borderId="6" applyAlignment="1" pivotButton="0" quotePrefix="0" xfId="0">
      <alignment horizontal="center" vertical="top"/>
    </xf>
    <xf numFmtId="0" fontId="0" fillId="0" borderId="0" applyAlignment="1" pivotButton="0" quotePrefix="0" xfId="0">
      <alignment vertical="center"/>
    </xf>
    <xf numFmtId="0" fontId="0" fillId="0" borderId="1" pivotButton="0" quotePrefix="0" xfId="0"/>
    <xf numFmtId="0" fontId="0" fillId="0" borderId="1" applyAlignment="1" pivotButton="0" quotePrefix="0" xfId="0">
      <alignment vertical="center"/>
    </xf>
    <xf numFmtId="0" fontId="0" fillId="0" borderId="1" applyAlignment="1" pivotButton="0" quotePrefix="0" xfId="0">
      <alignment horizontal="center"/>
    </xf>
    <xf numFmtId="0" fontId="0" fillId="0" borderId="7" pivotButton="0" quotePrefix="0" xfId="0"/>
    <xf numFmtId="0" fontId="0" fillId="0" borderId="8" pivotButton="0" quotePrefix="0" xfId="0"/>
    <xf numFmtId="0" fontId="0" fillId="0" borderId="12" pivotButton="0" quotePrefix="0" xfId="0"/>
    <xf numFmtId="0" fontId="0" fillId="0" borderId="6" applyAlignment="1" pivotButton="0" quotePrefix="0" xfId="0">
      <alignment vertical="center"/>
    </xf>
    <xf numFmtId="0" fontId="0" fillId="0" borderId="13" pivotButton="0" quotePrefix="0" xfId="0"/>
    <xf numFmtId="0" fontId="2" fillId="5" borderId="9" applyAlignment="1" pivotButton="0" quotePrefix="0" xfId="0">
      <alignment horizontal="center"/>
    </xf>
    <xf numFmtId="0" fontId="2" fillId="5" borderId="10" applyAlignment="1" pivotButton="0" quotePrefix="0" xfId="0">
      <alignment horizontal="center"/>
    </xf>
    <xf numFmtId="0" fontId="2" fillId="5" borderId="11" applyAlignment="1" pivotButton="0" quotePrefix="0" xfId="0">
      <alignment horizontal="center"/>
    </xf>
    <xf numFmtId="0" fontId="0" fillId="0" borderId="14" pivotButton="0" quotePrefix="0" xfId="0"/>
    <xf numFmtId="0" fontId="2" fillId="0" borderId="0" pivotButton="0" quotePrefix="0" xfId="0"/>
    <xf numFmtId="0" fontId="0" fillId="0" borderId="0" applyAlignment="1" pivotButton="0" quotePrefix="0" xfId="0">
      <alignment horizontal="center"/>
    </xf>
    <xf numFmtId="0" fontId="1" fillId="0" borderId="3" applyAlignment="1" pivotButton="0" quotePrefix="0" xfId="0">
      <alignment horizontal="center" vertical="top"/>
    </xf>
    <xf numFmtId="0" fontId="1" fillId="3" borderId="16" applyAlignment="1" pivotButton="0" quotePrefix="0" xfId="0">
      <alignment vertical="top"/>
    </xf>
    <xf numFmtId="0" fontId="1" fillId="4" borderId="16" applyAlignment="1" pivotButton="0" quotePrefix="0" xfId="0">
      <alignment horizontal="center" vertical="top"/>
    </xf>
    <xf numFmtId="0" fontId="0" fillId="0" borderId="0" pivotButton="0" quotePrefix="0" xfId="0"/>
    <xf numFmtId="0" fontId="1" fillId="2" borderId="15" applyAlignment="1" pivotButton="0" quotePrefix="0" xfId="0">
      <alignment horizontal="center" vertical="top"/>
    </xf>
    <xf numFmtId="0" fontId="0" fillId="0" borderId="16" pivotButton="0" quotePrefix="0" xfId="0"/>
    <xf numFmtId="0" fontId="1" fillId="5" borderId="16" applyAlignment="1" pivotButton="0" quotePrefix="0" xfId="0">
      <alignment horizontal="center" vertical="top"/>
    </xf>
    <xf numFmtId="0" fontId="0" fillId="6" borderId="17" applyAlignment="1" pivotButton="0" quotePrefix="0" xfId="0">
      <alignment horizontal="center"/>
    </xf>
    <xf numFmtId="0" fontId="0" fillId="0" borderId="17" pivotButton="0" quotePrefix="0" xfId="0"/>
  </cellXfs>
  <cellStyles count="1">
    <cellStyle name="Normal" xfId="0" builtinId="0"/>
  </cellStyles>
  <dxfs count="42">
    <dxf>
      <border outline="0">
        <top style="thin">
          <color auto="1"/>
        </top>
        <bottom style="medium">
          <color indexed="64"/>
        </bottom>
      </border>
    </dxf>
    <dxf>
      <border outline="0">
        <bottom style="thin">
          <color auto="1"/>
        </bottom>
      </border>
    </dxf>
    <dxf>
      <numFmt numFmtId="0" formatCode="General"/>
    </dxf>
    <dxf>
      <numFmt numFmtId="0" formatCode="General"/>
    </dxf>
    <dxf>
      <numFmt numFmtId="0" formatCode="General"/>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alignment horizontal="general" vertical="center"/>
      <border>
        <left/>
        <right style="medium">
          <color indexed="64"/>
        </right>
        <top/>
        <bottom/>
        <vertical/>
        <horizontal/>
      </border>
    </dxf>
    <dxf>
      <alignment horizontal="general" vertical="center"/>
      <border>
        <left/>
        <right style="medium">
          <color indexed="64"/>
        </right>
        <top/>
        <bottom/>
        <vertical/>
        <horizontal/>
      </border>
    </dxf>
    <dxf>
      <border>
        <left style="medium">
          <color indexed="64"/>
        </left>
        <right/>
        <top/>
        <bottom/>
        <vertical/>
        <horizontal/>
      </border>
    </dxf>
    <dxf>
      <border outline="0">
        <top style="thin">
          <color auto="1"/>
        </top>
        <bottom style="medium">
          <color indexed="64"/>
        </bottom>
      </border>
    </dxf>
    <dxf>
      <border outline="0">
        <bottom style="thin">
          <color auto="1"/>
        </bottom>
      </border>
    </dxf>
    <dxf>
      <fill>
        <patternFill patternType="solid">
          <fgColor indexed="64"/>
          <bgColor rgb="FFFFFF00"/>
        </patternFill>
      </fill>
      <alignment horizontal="center" vertical="bottom"/>
      <border outline="0">
        <left style="thin">
          <color auto="1"/>
        </left>
        <right style="thin">
          <color auto="1"/>
        </right>
        <top/>
        <bottom/>
      </border>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numFmt numFmtId="0" formatCode="General"/>
    </dxf>
    <dxf>
      <numFmt numFmtId="0" formatCode="General"/>
    </dxf>
    <dxf>
      <numFmt numFmtId="0" formatCode="General"/>
    </dxf>
    <dxf>
      <border>
        <left style="thin">
          <color auto="1"/>
        </left>
        <right/>
        <top style="thin">
          <color auto="1"/>
        </top>
        <bottom style="thin">
          <color auto="1"/>
        </bottom>
        <vertical/>
        <horizontal/>
      </border>
    </dxf>
    <dxf>
      <alignment horizontal="general" vertical="center"/>
      <border>
        <left style="thin">
          <color auto="1"/>
        </left>
        <right style="thin">
          <color auto="1"/>
        </right>
        <top style="thin">
          <color auto="1"/>
        </top>
        <bottom style="thin">
          <color auto="1"/>
        </bottom>
        <vertical/>
        <horizontal/>
      </border>
    </dxf>
    <dxf>
      <border>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lor rgb="FFFF0000"/>
        <sz val="11"/>
        <vertAlign val="baseline"/>
        <scheme val="minor"/>
      </font>
      <fill>
        <patternFill patternType="solid">
          <fgColor indexed="64"/>
          <bgColor rgb="FFFFFF00"/>
        </patternFill>
      </fill>
      <alignment horizontal="center" vertical="bottom"/>
      <border outline="0">
        <left style="thin">
          <color auto="1"/>
        </left>
        <right style="thin">
          <color auto="1"/>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styles" Target="styles.xml" Id="rId2"/><Relationship Type="http://schemas.openxmlformats.org/officeDocument/2006/relationships/theme" Target="theme/theme1.xml" Id="rId3"/><Relationship Type="http://schemas.microsoft.com/office/2006/relationships/vbaProject" Target="vbaProject.bin" Id="rId4"/></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ext_list" displayName="text_list" ref="AV1:BA41" headerRowCount="1" totalsRowShown="0" headerRowDxfId="32" headerRowBorderDxfId="31" tableBorderDxfId="30" totalsRowBorderDxfId="29">
  <autoFilter ref="AV1:BA41"/>
  <tableColumns count="6">
    <tableColumn id="1" name="Artist count" dataDxfId="28"/>
    <tableColumn id="2" name="Genre" dataDxfId="27"/>
    <tableColumn id="3" name="Text" dataDxfId="26"/>
    <tableColumn id="4" name="presentation" dataDxfId="25">
      <calculatedColumnFormula>+_xlfn.TEXTBEFORE(text_list[[#This Row],[Text]],"''''!",,0)</calculatedColumnFormula>
    </tableColumn>
    <tableColumn id="6" name="Type based on genre" dataDxfId="24">
      <calculatedColumnFormula>+_xlfn.TEXTBEFORE(_xlfn.TEXTAFTER(text_list[[#This Row],[Text]],"'''!"),"Label")</calculatedColumnFormula>
    </tableColumn>
    <tableColumn id="7" name="Label" dataDxfId="23">
      <calculatedColumnFormula>+_xlfn.TEXTAFTER(text_list[[#This Row],[Text]],text_list[[#This Row],[Type based on genre]])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deep" displayName="deep" ref="BE2:BG5" headerRowCount="1" totalsRowShown="0" headerRowBorderDxfId="22" tableBorderDxfId="21">
  <autoFilter ref="BE2:BG5"/>
  <sortState ref="BE3:BG5">
    <sortCondition ref="BG2:BG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ech" displayName="tech" ref="BI2:BL5" headerRowCount="1" totalsRowShown="0" headerRowBorderDxfId="20" tableBorderDxfId="19">
  <autoFilter ref="BI2:BL5"/>
  <sortState ref="BI3:BK5">
    <sortCondition ref="BK2:BK5"/>
  </sortState>
  <tableColumns count="4">
    <tableColumn id="1" name="Location"/>
    <tableColumn id="2" name="Genre"/>
    <tableColumn id="3" name="Rand">
      <calculatedColumnFormula>+RAND()</calculatedColumnFormula>
    </tableColumn>
    <tableColumn id="4" name="Colonna1" dataDxfId="18">
      <calculatedColumnFormula>+tech[[#This Row],[Rand]]</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piano" displayName="piano" ref="BN2:BP6" headerRowCount="1" totalsRowShown="0" headerRowDxfId="17" headerRowBorderDxfId="16" tableBorderDxfId="15">
  <autoFilter ref="BN2:BP6"/>
  <sortState ref="BN3:BP6">
    <sortCondition ref="BP2:BP6"/>
  </sortState>
  <tableColumns count="3">
    <tableColumn id="1" name="Location" dataDxfId="14"/>
    <tableColumn id="2" name="Genre" dataDxfId="13"/>
    <tableColumn id="3" name="Rand" dataDxfId="12">
      <calculatedColumnFormula>+RAND()</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indie" displayName="indie" ref="BR2:BT5" headerRowCount="1" totalsRowShown="0" headerRowBorderDxfId="11" tableBorderDxfId="10">
  <autoFilter ref="BR2:BT5"/>
  <sortState ref="BR3:BT5">
    <sortCondition ref="BT2:BT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slap" displayName="slap" ref="BV2:BX5" headerRowCount="1" totalsRowShown="0" headerRowBorderDxfId="9" tableBorderDxfId="8">
  <autoFilter ref="BV2:BX5"/>
  <sortState ref="BV3:BX5">
    <sortCondition ref="BX2:BX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brazilian" displayName="brazilian" ref="BZ2:CB5" headerRowCount="1" totalsRowShown="0" headerRowBorderDxfId="7" tableBorderDxfId="6">
  <autoFilter ref="BZ2:CB5"/>
  <sortState ref="BZ3:CB5">
    <sortCondition ref="CB2:CB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map_location" displayName="map_location" ref="BH8:BN15" headerRowCount="1" totalsRowShown="0">
  <autoFilter ref="BH8:BN15"/>
  <tableColumns count="7">
    <tableColumn id="1" name="Genre"/>
    <tableColumn id="2" name="rand"/>
    <tableColumn id="3" name="location"/>
    <tableColumn id="4" name="1* rand" dataDxfId="5">
      <calculatedColumnFormula>+map_location[[#This Row],[rand]]</calculatedColumnFormula>
    </tableColumn>
    <tableColumn id="5" name="min" dataDxfId="4">
      <calculatedColumnFormula array="1">INDIRECT(BL16,FALSE)</calculatedColumnFormula>
    </tableColumn>
    <tableColumn id="6" name="MIN+1"/>
    <tableColumn id="7" name="MIN+2"/>
  </tableColumns>
  <tableStyleInfo name="TableStyleMedium9" showFirstColumn="0" showLastColumn="0" showRowStripes="1" showColumnStripes="0"/>
</table>
</file>

<file path=xl/tables/table9.xml><?xml version="1.0" encoding="utf-8"?>
<table xmlns="http://schemas.openxmlformats.org/spreadsheetml/2006/main" id="9" name="tech_country" displayName="tech_country" ref="BJ20:BL31" headerRowCount="1" totalsRowShown="0">
  <autoFilter ref="BJ20:BL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deep_country" displayName="deep_country" ref="BE20:BG31" headerRowCount="1" totalsRowShown="0">
  <autoFilter ref="BE20:BG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id="11" name="brazilian_country" displayName="brazilian_country" ref="BE34:BG45" headerRowCount="1" totalsRowShown="0">
  <autoFilter ref="BE34:BG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id="12" name="lo_fi_country" displayName="lo_fi_country" ref="BJ34:BL39" headerRowCount="1" totalsRowShown="0">
  <autoFilter ref="BJ34:BL39"/>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id="13" name="piano_country" displayName="piano_country" ref="BN20:BP31" headerRowCount="1" totalsRowShown="0">
  <autoFilter ref="BN20:BP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slap_country" displayName="slap_country" ref="BO34:BQ45" headerRowCount="1" totalsRowShown="0">
  <autoFilter ref="BO34:BQ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5" name="indie_country" displayName="indie_country" ref="BR20:BT31" headerRowCount="1" totalsRowShown="0">
  <autoFilter ref="BR20:BT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6" name="map_country" displayName="map_country" ref="BI50:BV58" headerRowCount="1" totalsRowShown="0">
  <autoFilter ref="BI50:BV58"/>
  <tableColumns count="14">
    <tableColumn id="1" name="Genre"/>
    <tableColumn id="2" name="rand"/>
    <tableColumn id="3" name="country"/>
    <tableColumn id="4" name="1* rand" dataDxfId="3">
      <calculatedColumnFormula>+map_country[[#This Row],[rand]]</calculatedColumnFormula>
    </tableColumn>
    <tableColumn id="5" name="min" dataDxfId="2">
      <calculatedColumnFormula array="1">INDIRECT(BM58,FALSE)</calculatedColumnFormula>
    </tableColumn>
    <tableColumn id="6" name="MIN+1">
      <calculatedColumnFormula>+SUBSTITUTE(map_country[[#This Row],[min]],MID(map_country[[#This Row],[min]],2,2),MID(map_country[[#This Row],[min]],2,2)+1)</calculatedColumnFormula>
    </tableColumn>
    <tableColumn id="7" name="MIN+2">
      <calculatedColumnFormula>+SUBSTITUTE(map_country[[#This Row],[min]],MID(map_country[[#This Row],[min]],2,2),MID(map_country[[#This Row],[min]],2,2)+2)</calculatedColumnFormula>
    </tableColumn>
    <tableColumn id="8" name="min+3">
      <calculatedColumnFormula>+SUBSTITUTE(map_country[[#This Row],[min]],MID(map_country[[#This Row],[min]],2,2),MID(map_country[[#This Row],[min]],2,2)+3)</calculatedColumnFormula>
    </tableColumn>
    <tableColumn id="9" name="min+4">
      <calculatedColumnFormula>+SUBSTITUTE(map_country[[#This Row],[min]],MID(map_country[[#This Row],[min]],2,2),MID(map_country[[#This Row],[min]],2,2)+4)</calculatedColumnFormula>
    </tableColumn>
    <tableColumn id="10" name="min+5">
      <calculatedColumnFormula>+SUBSTITUTE(map_country[[#This Row],[min]],MID(map_country[[#This Row],[min]],2,2),MID(map_country[[#This Row],[min]],2,2)+5)</calculatedColumnFormula>
    </tableColumn>
    <tableColumn id="11" name="min+6">
      <calculatedColumnFormula>+SUBSTITUTE(map_country[[#This Row],[min]],MID(map_country[[#This Row],[min]],2,2),MID(map_country[[#This Row],[min]],2,2)+6)</calculatedColumnFormula>
    </tableColumn>
    <tableColumn id="12" name="min+7">
      <calculatedColumnFormula>+SUBSTITUTE(map_country[[#This Row],[min]],MID(map_country[[#This Row],[min]],2,2),MID(map_country[[#This Row],[min]],2,2)+7)</calculatedColumnFormula>
    </tableColumn>
    <tableColumn id="13" name="min+8">
      <calculatedColumnFormula>+SUBSTITUTE(map_country[[#This Row],[min]],MID(map_country[[#This Row],[min]],2,2),MID(map_country[[#This Row],[min]],2,2)+8)</calculatedColumnFormula>
    </tableColumn>
    <tableColumn id="14" name="min+9">
      <calculatedColumnFormula>+SUBSTITUTE(map_country[[#This Row],[min]],MID(map_country[[#This Row],[min]],2,2),MID(map_country[[#This Row],[min]],2,2)+9)</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7" name="edm" displayName="edm" ref="CD2:CF5" headerRowCount="1" totalsRowShown="0" headerRowBorderDxfId="1" tableBorderDxfId="0">
  <autoFilter ref="CD2:CF5"/>
  <sortState ref="CD3:CF5">
    <sortCondition ref="CF2:CF5"/>
  </sortState>
  <tableColumns count="3">
    <tableColumn id="1" name="Location"/>
    <tableColumn id="2" name="Genre"/>
    <tableColumn id="3" name="Rand">
      <calculatedColumnFormula>+RAND()</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id="18" name="edm_country" displayName="edm_country" ref="BV20:BX31" headerRowCount="1" totalsRowShown="0">
  <autoFilter ref="BV20:BX31"/>
  <tableColumns count="3">
    <tableColumn id="1" name="Country"/>
    <tableColumn id="2" name="Genre"/>
    <tableColumn id="3" name="Rand">
      <calculatedColumnFormula>+RAND()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table" Target="/xl/tables/table2.xml" Id="rId2"/><Relationship Type="http://schemas.openxmlformats.org/officeDocument/2006/relationships/table" Target="/xl/tables/table3.xml" Id="rId3"/><Relationship Type="http://schemas.openxmlformats.org/officeDocument/2006/relationships/table" Target="/xl/tables/table4.xml" Id="rId4"/><Relationship Type="http://schemas.openxmlformats.org/officeDocument/2006/relationships/table" Target="/xl/tables/table5.xml" Id="rId5"/><Relationship Type="http://schemas.openxmlformats.org/officeDocument/2006/relationships/table" Target="/xl/tables/table6.xml" Id="rId6"/><Relationship Type="http://schemas.openxmlformats.org/officeDocument/2006/relationships/table" Target="/xl/tables/table7.xml" Id="rId7"/><Relationship Type="http://schemas.openxmlformats.org/officeDocument/2006/relationships/table" Target="/xl/tables/table8.xml" Id="rId8"/><Relationship Type="http://schemas.openxmlformats.org/officeDocument/2006/relationships/table" Target="/xl/tables/table9.xml" Id="rId9"/><Relationship Type="http://schemas.openxmlformats.org/officeDocument/2006/relationships/table" Target="/xl/tables/table10.xml" Id="rId10"/><Relationship Type="http://schemas.openxmlformats.org/officeDocument/2006/relationships/table" Target="/xl/tables/table11.xml" Id="rId11"/><Relationship Type="http://schemas.openxmlformats.org/officeDocument/2006/relationships/table" Target="/xl/tables/table12.xml" Id="rId12"/><Relationship Type="http://schemas.openxmlformats.org/officeDocument/2006/relationships/table" Target="/xl/tables/table13.xml" Id="rId13"/><Relationship Type="http://schemas.openxmlformats.org/officeDocument/2006/relationships/table" Target="/xl/tables/table14.xml" Id="rId14"/><Relationship Type="http://schemas.openxmlformats.org/officeDocument/2006/relationships/table" Target="/xl/tables/table15.xml" Id="rId15"/><Relationship Type="http://schemas.openxmlformats.org/officeDocument/2006/relationships/table" Target="/xl/tables/table16.xml" Id="rId16"/><Relationship Type="http://schemas.openxmlformats.org/officeDocument/2006/relationships/table" Target="/xl/tables/table17.xml" Id="rId17"/><Relationship Type="http://schemas.openxmlformats.org/officeDocument/2006/relationships/table" Target="/xl/tables/table18.xml" Id="rId18"/><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sheetPr>
  <dimension ref="A1:LK84"/>
  <sheetViews>
    <sheetView tabSelected="1" zoomScale="70" zoomScaleNormal="70" workbookViewId="0">
      <selection activeCell="D21" sqref="D21"/>
    </sheetView>
  </sheetViews>
  <sheetFormatPr baseColWidth="8" defaultRowHeight="15"/>
  <cols>
    <col width="52.28515625" bestFit="1" customWidth="1" style="25" min="1" max="1"/>
    <col width="16.7109375" customWidth="1" style="25" min="2" max="2"/>
    <col outlineLevel="1" width="13.7109375" customWidth="1" style="25" min="3" max="3"/>
    <col outlineLevel="1" width="20.85546875" customWidth="1" style="25" min="4" max="5"/>
    <col outlineLevel="1" width="17.28515625" customWidth="1" style="25" min="6" max="6"/>
    <col outlineLevel="1" width="13.7109375" customWidth="1" style="25" min="7" max="7"/>
    <col width="13.7109375" customWidth="1" style="25" min="8" max="8"/>
    <col outlineLevel="1" width="13.7109375" customWidth="1" style="25" min="9" max="13"/>
    <col outlineLevel="1" width="15.42578125" customWidth="1" style="25" min="14" max="14"/>
    <col outlineLevel="1" width="13.7109375" customWidth="1" style="25" min="15" max="16"/>
    <col outlineLevel="1" width="9.140625" customWidth="1" style="25" min="17" max="17"/>
    <col outlineLevel="1" width="16.140625" customWidth="1" style="25" min="18" max="18"/>
    <col outlineLevel="1" width="9.140625" customWidth="1" style="25" min="19" max="19"/>
    <col outlineLevel="1" width="8.85546875" customWidth="1" style="25" min="20" max="20"/>
    <col outlineLevel="1" width="12.42578125" customWidth="1" style="25" min="21" max="21"/>
    <col outlineLevel="1" width="27.7109375" customWidth="1" style="25" min="22" max="22"/>
    <col outlineLevel="1" width="21.7109375" customWidth="1" style="25" min="23" max="23"/>
    <col width="31" bestFit="1" customWidth="1" style="25" min="24" max="24"/>
    <col outlineLevel="1" width="8.85546875" customWidth="1" style="25" min="25" max="30"/>
    <col outlineLevel="1" collapsed="1" width="8.85546875" customWidth="1" style="25" min="31" max="31"/>
    <col width="84.140625" customWidth="1" style="25" min="32" max="32"/>
    <col outlineLevel="1" width="16.140625" customWidth="1" style="25" min="33" max="33"/>
    <col outlineLevel="1" width="14.85546875" customWidth="1" style="25" min="34" max="34"/>
    <col outlineLevel="1" width="18.5703125" bestFit="1" customWidth="1" style="25" min="35" max="35"/>
    <col width="14.42578125" bestFit="1" customWidth="1" style="25" min="36" max="36"/>
    <col outlineLevel="1" width="15.28515625" customWidth="1" style="25" min="37" max="37"/>
    <col width="28" customWidth="1" style="25" min="38" max="38"/>
    <col width="10" customWidth="1" style="25" min="39" max="39"/>
    <col hidden="1" outlineLevel="1" width="48.28515625" customWidth="1" style="20" min="40" max="40"/>
    <col hidden="1" outlineLevel="1" width="13.140625" customWidth="1" style="20" min="41" max="41"/>
    <col hidden="1" outlineLevel="1" width="35.5703125" customWidth="1" style="20" min="42" max="42"/>
    <col hidden="1" outlineLevel="1" width="6.85546875" customWidth="1" style="20" min="43" max="45"/>
    <col collapsed="1" width="8.85546875" customWidth="1" style="25" min="46" max="46"/>
    <col hidden="1" outlineLevel="1" width="13.42578125" customWidth="1" style="25" min="48" max="48"/>
    <col hidden="1" outlineLevel="1" width="15" customWidth="1" style="25" min="49" max="49"/>
    <col hidden="1" outlineLevel="1" width="95.85546875" customWidth="1" style="25" min="50" max="50"/>
    <col hidden="1" outlineLevel="1" width="53.28515625" customWidth="1" style="25" min="51" max="51"/>
    <col hidden="1" outlineLevel="1" width="27.85546875" customWidth="1" style="25" min="52" max="52"/>
    <col hidden="1" outlineLevel="1" width="18.7109375" customWidth="1" style="25" min="53" max="53"/>
    <col collapsed="1" width="8.85546875" customWidth="1" style="25" min="54" max="54"/>
    <col width="38.85546875" bestFit="1" customWidth="1" style="25" min="57" max="57"/>
    <col width="12.85546875" bestFit="1" customWidth="1" style="25" min="58" max="58"/>
    <col width="14.7109375" bestFit="1" customWidth="1" style="25" min="59" max="59"/>
    <col width="17.140625" bestFit="1" customWidth="1" style="25" min="60" max="60"/>
    <col width="22.140625" customWidth="1" style="25" min="61" max="61"/>
    <col width="21.28515625" bestFit="1" customWidth="1" style="25" min="62" max="62"/>
    <col width="14.7109375" bestFit="1" customWidth="1" style="25" min="63" max="63"/>
    <col width="21.28515625" bestFit="1" customWidth="1" style="25" min="64" max="64"/>
    <col width="9.85546875" customWidth="1" style="25" min="65" max="65"/>
    <col width="34.28515625" bestFit="1" customWidth="1" style="25" min="66" max="66"/>
    <col width="13.28515625" bestFit="1" customWidth="1" style="25" min="67" max="67"/>
    <col width="14.7109375" bestFit="1" customWidth="1" style="25" min="68" max="68"/>
    <col width="33.28515625" bestFit="1" customWidth="1" style="25" min="70" max="70"/>
    <col width="17.140625" bestFit="1" customWidth="1" style="25" min="71" max="71"/>
    <col width="14.7109375" bestFit="1" customWidth="1" style="25" min="72" max="72"/>
    <col width="38.7109375" bestFit="1" customWidth="1" style="25" min="74" max="74"/>
    <col width="12" bestFit="1" customWidth="1" style="25" min="75" max="75"/>
    <col width="14.7109375" bestFit="1" customWidth="1" style="25" min="76" max="76"/>
    <col width="42.5703125" bestFit="1" customWidth="1" style="25" min="78" max="78"/>
    <col width="14.28515625" bestFit="1" customWidth="1" style="25" min="79" max="79"/>
    <col width="14.7109375" bestFit="1" customWidth="1" style="25" min="80" max="80"/>
    <col width="13.7109375" customWidth="1" style="25" min="323" max="323"/>
  </cols>
  <sheetData>
    <row r="1" ht="15.75" customHeight="1" s="25" thickBot="1">
      <c r="A1" s="1" t="inlineStr">
        <is>
          <t>Artist Name</t>
        </is>
      </c>
      <c r="B1" s="1" t="inlineStr">
        <is>
          <t>Song Title</t>
        </is>
      </c>
      <c r="C1" s="1" t="inlineStr">
        <is>
          <t>Country</t>
        </is>
      </c>
      <c r="D1" s="1" t="inlineStr">
        <is>
          <t>Release Date</t>
        </is>
      </c>
      <c r="E1" s="1" t="inlineStr">
        <is>
          <t>Release Date (Formatted)</t>
        </is>
      </c>
      <c r="F1" s="1" t="inlineStr">
        <is>
          <t>UPC</t>
        </is>
      </c>
      <c r="G1" s="1" t="inlineStr">
        <is>
          <t>ISRC</t>
        </is>
      </c>
      <c r="H1" s="6" t="inlineStr">
        <is>
          <t>Genre</t>
        </is>
      </c>
      <c r="I1" s="1" t="inlineStr">
        <is>
          <t>Minute</t>
        </is>
      </c>
      <c r="J1" s="1" t="inlineStr">
        <is>
          <t>Seconds</t>
        </is>
      </c>
      <c r="K1" s="1" t="inlineStr">
        <is>
          <t>URL Link</t>
        </is>
      </c>
      <c r="L1" s="1" t="inlineStr">
        <is>
          <t>Label Name</t>
        </is>
      </c>
      <c r="M1" s="2" t="inlineStr">
        <is>
          <t>Priority</t>
        </is>
      </c>
      <c r="N1" s="22" t="inlineStr">
        <is>
          <t>Radio/Extended</t>
        </is>
      </c>
      <c r="O1" s="26" t="inlineStr">
        <is>
          <t>Deezer Germany</t>
        </is>
      </c>
      <c r="P1" s="27" t="n"/>
      <c r="Q1" s="27" t="n"/>
      <c r="R1" s="27" t="n"/>
      <c r="S1" s="27" t="n"/>
      <c r="T1" s="27" t="n"/>
      <c r="U1" s="23" t="inlineStr">
        <is>
          <t>Deezer Label</t>
        </is>
      </c>
      <c r="V1" s="24" t="inlineStr">
        <is>
          <t>Filtr</t>
        </is>
      </c>
      <c r="W1" s="24" t="n"/>
      <c r="X1" s="28" t="inlineStr">
        <is>
          <t>Spotify</t>
        </is>
      </c>
      <c r="Y1" s="27" t="n"/>
      <c r="Z1" s="27" t="n"/>
      <c r="AA1" s="27" t="n"/>
      <c r="AB1" s="27" t="n"/>
      <c r="AC1" s="27" t="n"/>
      <c r="AD1" s="27" t="n"/>
      <c r="AE1" s="27" t="n"/>
      <c r="AF1" s="27" t="n"/>
      <c r="AG1" s="29" t="inlineStr">
        <is>
          <t>Amazon</t>
        </is>
      </c>
      <c r="AH1" s="27" t="n"/>
      <c r="AI1" s="27" t="n"/>
      <c r="AJ1" s="27" t="n"/>
      <c r="AK1" s="27" t="n"/>
      <c r="AL1" s="30" t="n"/>
      <c r="AM1" s="21" t="n"/>
      <c r="AN1" s="20" t="inlineStr">
        <is>
          <t>formula1</t>
        </is>
      </c>
      <c r="AO1" s="20" t="inlineStr">
        <is>
          <t>Artist1</t>
        </is>
      </c>
      <c r="AP1" s="20" t="inlineStr">
        <is>
          <t>Artist2</t>
        </is>
      </c>
      <c r="AQ1" s="20" t="inlineStr">
        <is>
          <t>Artist3</t>
        </is>
      </c>
      <c r="AR1" s="20" t="inlineStr">
        <is>
          <t>Artist4</t>
        </is>
      </c>
      <c r="AS1" s="20" t="inlineStr">
        <is>
          <t>Artist5</t>
        </is>
      </c>
      <c r="AV1" s="16" t="inlineStr">
        <is>
          <t>Artist count</t>
        </is>
      </c>
      <c r="AW1" s="17" t="inlineStr">
        <is>
          <t>Genre</t>
        </is>
      </c>
      <c r="AX1" s="18" t="inlineStr">
        <is>
          <t>Text</t>
        </is>
      </c>
      <c r="AY1" s="17" t="inlineStr">
        <is>
          <t>presentation</t>
        </is>
      </c>
      <c r="AZ1" s="17" t="inlineStr">
        <is>
          <t>Type based on genre</t>
        </is>
      </c>
      <c r="BA1" s="17" t="inlineStr">
        <is>
          <t>Label</t>
        </is>
      </c>
      <c r="LK1" s="1" t="n"/>
    </row>
    <row r="2">
      <c r="A2" t="inlineStr">
        <is>
          <t>Olly Gi</t>
        </is>
      </c>
      <c r="B2" t="inlineStr">
        <is>
          <t>Safe And Sound</t>
        </is>
      </c>
      <c r="C2" t="inlineStr">
        <is>
          <t>Germany</t>
        </is>
      </c>
      <c r="D2" t="inlineStr">
        <is>
          <t>November 18th, 2022</t>
        </is>
      </c>
      <c r="E2" t="inlineStr">
        <is>
          <t>18.11.2022</t>
        </is>
      </c>
      <c r="F2" s="3" t="n">
        <v>5063113981869</v>
      </c>
      <c r="G2" t="inlineStr">
        <is>
          <t xml:space="preserve">
GX8KD2234357
</t>
        </is>
      </c>
      <c r="H2" s="7" t="inlineStr">
        <is>
          <t>Deep House</t>
        </is>
      </c>
      <c r="I2" t="inlineStr">
        <is>
          <t>2</t>
        </is>
      </c>
      <c r="J2" t="inlineStr">
        <is>
          <t>40</t>
        </is>
      </c>
      <c r="K2" t="inlineStr">
        <is>
          <t>https://soundcloud.com/daydoseofhouse/olly-gi-vinetum-safe-and-sound/s-apefNT3XMWt?si=a1d0b6f06d47400c8e42ad3e21ed9b5e&amp;utm_source=clipboard&amp;utm_medium=text&amp;utm_campaign=social_sharing</t>
        </is>
      </c>
      <c r="L2" t="inlineStr">
        <is>
          <t>Day Dose Of House</t>
        </is>
      </c>
      <c r="M2" t="n">
        <v>1</v>
      </c>
      <c r="N2" t="inlineStr">
        <is>
          <t>Radio/Extended</t>
        </is>
      </c>
      <c r="O2">
        <f>IF(N2="Remix","Citas:Remix",IF(N2="Cover","Citas:Cover",IF(N2="Radio","Single",IF(N2="Radio/Extended","Single",""))))</f>
        <v/>
      </c>
      <c r="P2">
        <f>IF(M2=1,"High_Priority",IF(M2=2,"Priority",IF(M2=3,"General_Release",IF(M2=4,"General_Release",IF(M2="","")))))</f>
        <v/>
      </c>
      <c r="Q2">
        <f>IF(N2="Remix","Citas:Remix",IF(N2="Cover","Citas:Cover",IF(N2="Radio","Single",IF(N2="Radio/Extended","Single",""))))</f>
        <v/>
      </c>
      <c r="R2">
        <f t="array" ref="R2">IF(SUM(COUNTIF(H2,{"*Deep*";"*Bass*";"*Slap*"})),"Citas:Deep House",IF(SUM(COUNTIF(H2,{"*Lo-Fi*"})),"Citas:Lo-Fi",IF(SUM(COUNTIF(H2,{"*Tech*"})),"Citas:Tech House",IF(SUM(COUNTIF(H2,{"*Indie/Chill Dance*"})),"Citas:Indie/Chill Dance",IF(SUM(COUNTIF(H2,{"*Piano*"})),"Citas:Piano House",IF(SUM(COUNTIF(H2,{"*EDM*"})),"edm dance",IF(H2="","","")))))))</f>
        <v/>
      </c>
      <c r="S2">
        <f t="array" ref="S2">IF(SUM(COUNTIF(H2,{"*Deep*";"*Bass*";"*Slap*"})),"energetic",IF(SUM(COUNTIF(H2,{"*Lo-Fi*"})),"calm",IF(SUM(COUNTIF(H2,{"*Tech*"})),"energetic",IF(SUM(COUNTIF(H2,{"*Indie/Chill Dance*"})),"chillout",IF(SUM(COUNTIF(H2,{"*Piano*"})),"energetic",IF(SUM(COUNTIF(H2,{"*EDM*"})),"energetic",IF(H2="","","")))))))</f>
        <v/>
      </c>
      <c r="T2">
        <f t="array" ref="T2">IF(SUM(COUNTIF(H2,{"*Tech*";"*EDM*";"*Indie*";"*Deep*";"*Piano*";"*Slap*";"*Brazilian Bass*"})),"Song would perfectly fit in any dance mood playlist! Label will invest up to 5000 EUR advertising on facebook and instagram ads aswell as promoting it over label and label partners playlists, radio stations and press.",IF(SUM(COUNTIF(H2,{"*Lo-Fi*"})),"Song would perfectly fit in any Lo-Fi mood playlist! Label will invest up to 5000 EUR advertising on facebook and instagram ads aswell as promoting it over label and label partners playlists, radio stations and press.",IF(H2="","","")))</f>
        <v/>
      </c>
      <c r="U2">
        <f>IF(N2="Cover","SGL",IF(N2="Radio","SGL",IF(N2="Remix","RMX",IF(N2="","","SGL"))))</f>
        <v/>
      </c>
      <c r="V2">
        <f>IF(L2="Floating Blue Records","Instrumental only",IF(L2="Day Dose Of House","Electronic, Dance, Deep House",""))</f>
        <v/>
      </c>
      <c r="X2">
        <f t="array" aca="1" ref="X2" ca="1">+IF(H2="LO-FI","",IFERROR(INDEX(INDIRECT((_xlfn.XLOOKUP(H2,map_location[Genre],map_location[location]))),RANK(INDIRECT((_xlfn.XLOOKUP(H2,map_location[Genre],map_location[min])),FALSE),INDIRECT((_xlfn.XLOOKUP(H2,map_location[Genre],map_location[rand]))),1)),""))</f>
        <v/>
      </c>
      <c r="Y2">
        <f t="array" ref="Y2">IF(SUM(COUNTIF(H2,{"*Deep*";"*Bass*";"*Slap*"})),"**Deep House**House**Dance**",IF(SUM(COUNTIF(H2,{"*Lo-Fi*"})),"**Lo-Fi Pop**Lo-Fi Beats**Lo-Fi**",IF(SUM(COUNTIF(H2,{"*Tech*"})),"**Deep House**Tech House**Dance**",IF(SUM(COUNTIF(H2,{"*Indie/Chill Dance*"})),"**Indie Dance**Indie Electronic**Dance Pop**",IF(SUM(COUNTIF(H2,{"*Piano*"})),"**House**Electro house**Melodic House**",IF(SUM(COUNTIF(H2,{"*EDM*"})),"**EDM**Electro house**Dance Pop**",IF(H2="","","")))))))</f>
        <v/>
      </c>
      <c r="Z2">
        <f t="array" ref="Z2">IF(SUM(COUNTIF(H2,{"*Deep*";"*Bass*";"*Slap*"})),"Energetic,Happy",IF(SUM(COUNTIF(H2,{"*Lo-Fi*"})),"Romantic,Chill",IF(SUM(COUNTIF(H2,{"*Tech*"})),"Energetic,Happy",IF(SUM(COUNTIF(H2,{"*Indie/Chill Dance*"})),"Energetic,Chill",IF(SUM(COUNTIF(H2,{"*Piano*"})),"Energetic,Happy",IF(SUM(COUNTIF(H2,{"*EDM*"})),"Energetic,Happy",IF(H2="","","")))))))</f>
        <v/>
      </c>
      <c r="AA2">
        <f t="array" ref="AA2">IF(SUM(COUNTIF(H2,{"*Deep*";"*Bass*";"*Slap*"})),"None of these",IF(SUM(COUNTIF(H2,{"*Lo-Fi*"})),"Holiday,Beats",IF(SUM(COUNTIF(H2,{"*Tech*"})),"None of these",IF(SUM(COUNTIF(H2,{"*Indie/Chill Dance*"})),"None of these",IF(SUM(COUNTIF(H2,{"*Piano*"})),"None of these",IF(SUM(COUNTIF(H2,{"*EDM*"})),"None of these",IF(H2="","","")))))))</f>
        <v/>
      </c>
      <c r="AB2">
        <f t="array" ref="AB2">IF(SUM(COUNTIF(H2,{"*Deep*";"*Bass*";"*Slap*"})),"Samples,Synthesizer,Bass Guitar,Piano,Drum Kit,Electric Guitar",IF(SUM(COUNTIF(H2,{"*Lo-Fi*"})),"Samples,Synthesizer,Bass Guitar,Piano,Drum Kit,Electric Guitar",IF(SUM(COUNTIF(H2,{"*Tech*"})),"Samples,Synthesizer,Bass Guitar,Piano,Drum Kit,Electric Guitar",IF(SUM(COUNTIF(H2,{"*Indie/Chill Dance*"})),"Samples,Synthesizer,Bass Guitar,Piano,Drum Kit,Electric Guitar",IF(SUM(COUNTIF(H2,{"*Piano*"})),"Samples,Synthesizer,Bass Guitar,Piano,Drum Kit,Electric Guitar",IF(SUM(COUNTIF(H2,{"*EDM*"})),"Samples,Synthesizer,Bass Guitar,Piano,Drum Kit,Electric Guitar",IF(H2="","","")))))))</f>
        <v/>
      </c>
      <c r="AC2">
        <f t="array" ref="AC2">IF(N2="Cover","Yes",IF(SUM(COUNTIF(N2,{"*Radio/Extended*";"*Radio*";"*Remix*"})),"No",""))</f>
        <v/>
      </c>
      <c r="AD2">
        <f t="array" ref="AD2">IF(N2="Remix","Yes",IF(SUM(COUNTIF(N2,{"*Radio/Extended*";"*Radio*";"*Cover*"})),"No",""))</f>
        <v/>
      </c>
      <c r="AE2">
        <f>IF(ISTEXT(A2),"**English**","")</f>
        <v/>
      </c>
      <c r="AF2">
        <f t="array" aca="1" ref="AF2" ca="1">+TRIM(SUBSTITUTE(SUBSTITUTE(SUBSTITUTE(SUBSTITUTE(IFERROR(AO2&amp;" "&amp;+_xlfn.XLOOKUP(((SUM(LEN(AN2))-SUM(LEN(SUBSTITUTE(AN2,",",""))))/LEN(",")+1)&amp;H2,AV:AV&amp;AW:AW,AY:AY)&amp;CHAR(34)&amp;B2&amp;CHAR(34)&amp;"!"&amp;_xlfn.XLOOKUP(H2,text_list[Genre],text_list[Type based on genre]&amp;text_list[Label]),""),"Second",AP2),"Third",AQ2),"Forth",AR2),"Fifth",AS2&amp;" "))</f>
        <v/>
      </c>
      <c r="AG2">
        <f t="array" ref="AG2">IF(SUM(COUNTIF(H2,{"*Deep*";"*Bass*";"*Slap*"})),"**Deep House**Progressive House**House**",IF(SUM(COUNTIF(H2,{"*Lo-Fi*"})),"**Lo-Fi Hip Hop**Indie &amp; Lo Fi**Lounge**",IF(SUM(COUNTIF(H2,{"*Tech*"})),"**Tech House**Techno**Future House**",IF(SUM(COUNTIF(H2,{"*Indie/Chill Dance*"})),"**Chill Electronic**Indie Dance**Ambient**",IF(SUM(COUNTIF(H2,{"*Piano*"})),"**Progressive House**House**Dance Pop**",IF(SUM(COUNTIF(H2,{"*EDM*"})),"**Progressive House**House**EDM**",IF(H2="","","")))))))</f>
        <v/>
      </c>
      <c r="AH2">
        <f>IF(N2="Remix","Remix",IF(N2="Cover","Cover",IF(N2="Radio","Original",IF(N2="Radio/Extended","Original",""))))</f>
        <v/>
      </c>
      <c r="AI2">
        <f t="array" ref="AI2">IF(SUM(COUNTIF(H2,{"*Deep*";"*Bass*";"*Slap*"})),"**Tiësto**Imanbek**",IF(SUM(COUNTIF(H2,{"*Lo-Fi*"})),"**L.Dre**Yasumu**",IF(SUM(COUNTIF(H2,{"*Tech*"})),"**Mau P**Gorgon City**",IF(SUM(COUNTIF(H2,{"*Indie/Chill Dance*"})),"**Felix Jaehn**Lost Frequencies**",IF(SUM(COUNTIF(H2,{"*Piano*"})),"**Avicii**Eric Prydz**",IF(SUM(COUNTIF(H2,{"*EDM*"})),"**David Guetta**Swedish House Mafia**",IF(H2="","","")))))))</f>
        <v/>
      </c>
      <c r="AJ2">
        <f t="array" aca="1" ref="AJ2" ca="1">+IFERROR(INDEX(INDIRECT((_xlfn.XLOOKUP(H2,map_country[Genre],map_country[country]))),RANK(INDIRECT((_xlfn.XLOOKUP(H2,map_country[Genre],map_country[min])),FALSE),INDIRECT((_xlfn.XLOOKUP(H2,map_country[Genre],map_country[rand]))),1)),"")</f>
        <v/>
      </c>
      <c r="AK2">
        <f t="array" ref="AK2">IF(SUM(COUNTIF(H2,{"*Deep*";"*Bass*";"*Slap*"})),"Cool,Upbeat,Dark",IF(SUM(COUNTIF(H2,{"*Lo-Fi*"})),"Sexy,Relaxing,Romantic",IF(SUM(COUNTIF(H2,{"*Tech*"})),"Cool,Upbeat,Dark",IF(SUM(COUNTIF(H2,{"*Indie/Chill Dance*"})),"Cool,Upbeat,Light",IF(SUM(COUNTIF(H2,{"*Piano*"})),"Cool,Upbeat,Light",IF(SUM(COUNTIF(H2,{"*EDM*"})),"Cool,Upbeat,Happy Mood",IF(H2="","","")))))))</f>
        <v/>
      </c>
      <c r="AL2">
        <f t="array" ref="AL2">IF(SUM(COUNTIF(H2,{"*Deep*";"*Bass*";"*Slap*"})),"Hard &amp; Heavy,Chilling Out &amp; Lounging,Happy &amp; Upbeat",IF(SUM(COUNTIF(H2,{"*Lo-Fi*"})),"Work, Study &amp; Reading,Chilling Out &amp; Lounging,Relaxed &amp; Laid Back",IF(SUM(COUNTIF(H2,{"*Tech*"})),"Hard &amp; Heavy,Chilling Out &amp; Lounging,Happy &amp; Upbeat",IF(SUM(COUNTIF(H2,{"*Indie/Chill Dance*"})),"Hard &amp; Heavy,Chilling Out &amp; Lounging,Happy &amp; Upbeat",IF(SUM(COUNTIF(H2,{"*Piano*"})),"Hard &amp; Heavy,Chilling Out &amp; Lounging,Happy &amp; Upbeat",IF(SUM(COUNTIF(H2,{"*EDM*"})),"Hard &amp; Heavy,Chilling Out &amp; Lounging,Happy &amp; Upbeat",IF(H2="","","")))))))</f>
        <v/>
      </c>
      <c r="AN2" s="20">
        <f>TRIM(SUBSTITUTE(SUBSTITUTE(SUBSTITUTE(A2,"&amp;",","),"feat",","),".",""))</f>
        <v/>
      </c>
      <c r="AO2" s="20">
        <f>IFERROR(_xlfn.TEXTBEFORE(AN2,","),AN2)</f>
        <v/>
      </c>
      <c r="AP2" s="20">
        <f>IFERROR(TRIM(SUBSTITUTE(SUBSTITUTE(SUBSTITUTE(SUBSTITUTE(_xlfn.TEXTAFTER(AN2,",",1),AQ2,""),AR2,""),AS2,""),",","")),"")</f>
        <v/>
      </c>
      <c r="AQ2" s="20">
        <f>IFERROR(SUBSTITUTE(SUBSTITUTE(SUBSTITUTE(_xlfn.TEXTAFTER(AN2,",",2),AR2,""),",",""),AS2,""),"")</f>
        <v/>
      </c>
      <c r="AR2" s="20">
        <f>IFERROR(SUBSTITUTE(SUBSTITUTE(_xlfn.TEXTAFTER(AN2,",",3),AS2,""),",",""),"")</f>
        <v/>
      </c>
      <c r="AS2" s="20">
        <f>IFERROR(_xlfn.TEXTAFTER(AN2,",",4),"")</f>
        <v/>
      </c>
      <c r="AV2" s="11" t="n">
        <v>1</v>
      </c>
      <c r="AW2" s="8" t="inlineStr">
        <is>
          <t>Deep House</t>
        </is>
      </c>
      <c r="AX2"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2">
        <f>+_xlfn.TEXTBEFORE(text_list[[#This Row],[Text]],"''''!",,0)</f>
        <v/>
      </c>
      <c r="AZ2">
        <f>+_xlfn.TEXTBEFORE(_xlfn.TEXTAFTER(text_list[[#This Row],[Text]],"'''!"),"Label")</f>
        <v/>
      </c>
      <c r="BA2">
        <f>+_xlfn.TEXTAFTER(text_list[[#This Row],[Text]],text_list[[#This Row],[Type based on genre]])</f>
        <v/>
      </c>
      <c r="BB2" t="inlineStr">
        <is>
          <t xml:space="preserve"> </t>
        </is>
      </c>
      <c r="BE2" t="inlineStr">
        <is>
          <t>Location</t>
        </is>
      </c>
      <c r="BF2" t="inlineStr">
        <is>
          <t>Genre</t>
        </is>
      </c>
      <c r="BG2" t="inlineStr">
        <is>
          <t>Rand</t>
        </is>
      </c>
      <c r="BI2" t="inlineStr">
        <is>
          <t>Location</t>
        </is>
      </c>
      <c r="BJ2" t="inlineStr">
        <is>
          <t>Genre</t>
        </is>
      </c>
      <c r="BK2" t="inlineStr">
        <is>
          <t>Rand</t>
        </is>
      </c>
      <c r="BL2" s="19" t="inlineStr">
        <is>
          <t>Colonna1</t>
        </is>
      </c>
      <c r="BN2" t="inlineStr">
        <is>
          <t>Location</t>
        </is>
      </c>
      <c r="BO2" t="inlineStr">
        <is>
          <t>Genre</t>
        </is>
      </c>
      <c r="BP2" t="inlineStr">
        <is>
          <t>Rand</t>
        </is>
      </c>
      <c r="BR2" t="inlineStr">
        <is>
          <t>Location</t>
        </is>
      </c>
      <c r="BS2" t="inlineStr">
        <is>
          <t>Genre</t>
        </is>
      </c>
      <c r="BT2" t="inlineStr">
        <is>
          <t>Rand</t>
        </is>
      </c>
      <c r="BV2" t="inlineStr">
        <is>
          <t>Location</t>
        </is>
      </c>
      <c r="BW2" t="inlineStr">
        <is>
          <t>Genre</t>
        </is>
      </c>
      <c r="BX2" t="inlineStr">
        <is>
          <t>Rand</t>
        </is>
      </c>
      <c r="BZ2" t="inlineStr">
        <is>
          <t>Location</t>
        </is>
      </c>
      <c r="CA2" t="inlineStr">
        <is>
          <t>Genre</t>
        </is>
      </c>
      <c r="CB2" t="inlineStr">
        <is>
          <t>Rand</t>
        </is>
      </c>
      <c r="CD2" t="inlineStr">
        <is>
          <t>Location</t>
        </is>
      </c>
      <c r="CE2" t="inlineStr">
        <is>
          <t>Genre</t>
        </is>
      </c>
      <c r="CF2" t="inlineStr">
        <is>
          <t>Rand</t>
        </is>
      </c>
    </row>
    <row r="3">
      <c r="A3" t="inlineStr">
        <is>
          <t xml:space="preserve"> Vinetum</t>
        </is>
      </c>
      <c r="B3" t="inlineStr">
        <is>
          <t>Safe And Sound</t>
        </is>
      </c>
      <c r="C3" t="inlineStr">
        <is>
          <t>Germany</t>
        </is>
      </c>
      <c r="D3" t="inlineStr">
        <is>
          <t>November 18th, 2022</t>
        </is>
      </c>
      <c r="E3" t="inlineStr">
        <is>
          <t>18.11.2022</t>
        </is>
      </c>
      <c r="F3" s="3" t="n">
        <v>5063113981869</v>
      </c>
      <c r="G3" t="inlineStr">
        <is>
          <t xml:space="preserve">
GX8KD2234357
</t>
        </is>
      </c>
      <c r="H3" s="7" t="inlineStr">
        <is>
          <t>Deep House</t>
        </is>
      </c>
      <c r="I3" t="inlineStr">
        <is>
          <t>2</t>
        </is>
      </c>
      <c r="J3" t="inlineStr">
        <is>
          <t>40</t>
        </is>
      </c>
      <c r="K3" t="inlineStr">
        <is>
          <t>https://soundcloud.com/daydoseofhouse/olly-gi-vinetum-safe-and-sound/s-apefNT3XMWt?si=a1d0b6f06d47400c8e42ad3e21ed9b5e&amp;utm_source=clipboard&amp;utm_medium=text&amp;utm_campaign=social_sharing</t>
        </is>
      </c>
      <c r="L3" t="inlineStr">
        <is>
          <t>Day Dose Of House</t>
        </is>
      </c>
      <c r="M3" t="n">
        <v>1</v>
      </c>
      <c r="N3" t="inlineStr">
        <is>
          <t>Radio/Extended</t>
        </is>
      </c>
      <c r="O3">
        <f>IF(N3="Remix","Citas:Remix",IF(N3="Cover","Citas:Cover",IF(N3="Radio","Single",IF(N3="Radio/Extended","Single",""))))</f>
        <v/>
      </c>
      <c r="P3">
        <f>IF(M3=1,"High_Priority",IF(M3=2,"Priority",IF(M3=3,"General_Release",IF(M3=4,"General_Release",IF(M3="","")))))</f>
        <v/>
      </c>
      <c r="Q3">
        <f>IF(N3="Remix","Citas:Remix",IF(N3="Cover","Citas:Cover",IF(N3="Radio","Single",IF(N3="Radio/Extended","Single",""))))</f>
        <v/>
      </c>
      <c r="R3">
        <f t="array" ref="R3">IF(SUM(COUNTIF(H3,{"*Deep*";"*Bass*";"*Slap*"})),"Citas:Deep House",IF(SUM(COUNTIF(H3,{"*Lo-Fi*"})),"Citas:Lo-Fi",IF(SUM(COUNTIF(H3,{"*Tech*"})),"Citas:Tech House",IF(SUM(COUNTIF(H3,{"*Indie/Chill Dance*"})),"Citas:Indie/Chill Dance",IF(SUM(COUNTIF(H3,{"*Piano*"})),"Citas:Piano House",IF(SUM(COUNTIF(H3,{"*EDM*"})),"edm dance",IF(H3="","","")))))))</f>
        <v/>
      </c>
      <c r="S3">
        <f t="array" ref="S3">IF(SUM(COUNTIF(H3,{"*Deep*";"*Bass*";"*Slap*"})),"energetic",IF(SUM(COUNTIF(H3,{"*Lo-Fi*"})),"calm",IF(SUM(COUNTIF(H3,{"*Tech*"})),"energetic",IF(SUM(COUNTIF(H3,{"*Indie/Chill Dance*"})),"chillout",IF(SUM(COUNTIF(H3,{"*Piano*"})),"energetic",IF(SUM(COUNTIF(H3,{"*EDM*"})),"energetic",IF(H3="","","")))))))</f>
        <v/>
      </c>
      <c r="T3">
        <f t="array" ref="T3">IF(SUM(COUNTIF(H3,{"*Tech*";"*EDM*";"*Indie*";"*Deep*";"*Piano*";"*Slap*";"*Brazilian Bass*"})),"Song would perfectly fit in any dance mood playlist! Label will invest up to 5000 EUR advertising on facebook and instagram ads aswell as promoting it over label and label partners playlists, radio stations and press.",IF(SUM(COUNTIF(H3,{"*Lo-Fi*"})),"Song would perfectly fit in any Lo-Fi mood playlist! Label will invest up to 5000 EUR advertising on facebook and instagram ads aswell as promoting it over label and label partners playlists, radio stations and press.",IF(H3="","","")))</f>
        <v/>
      </c>
      <c r="U3">
        <f>IF(N3="Cover","SGL",IF(N3="Radio","SGL",IF(N3="Remix","RMX",IF(N3="","","SGL"))))</f>
        <v/>
      </c>
      <c r="V3">
        <f>IF(L3="Floating Blue Records","Instrumental only",IF(L3="Day Dose Of House","Electronic, Dance, Deep House",""))</f>
        <v/>
      </c>
      <c r="X3">
        <f t="array" aca="1" ref="X3" ca="1">+IF(H3="LO-FI","",IFERROR(INDEX(INDIRECT((_xlfn.XLOOKUP(H3,map_location[Genre],map_location[location]))),RANK(INDIRECT((_xlfn.XLOOKUP(H3,map_location[Genre],map_location[min])),FALSE),INDIRECT((_xlfn.XLOOKUP(H3,map_location[Genre],map_location[rand]))),1)),""))</f>
        <v/>
      </c>
      <c r="Y3">
        <f t="array" ref="Y3">IF(SUM(COUNTIF(H3,{"*Deep*";"*Bass*";"*Slap*"})),"**Deep House**House**Dance**",IF(SUM(COUNTIF(H3,{"*Lo-Fi*"})),"**Lo-Fi Pop**Lo-Fi Beats**Lo-Fi**",IF(SUM(COUNTIF(H3,{"*Tech*"})),"**Deep House**Tech House**Dance**",IF(SUM(COUNTIF(H3,{"*Indie/Chill Dance*"})),"**Indie Dance**Indie Electronic**Dance Pop**",IF(SUM(COUNTIF(H3,{"*Piano*"})),"**House**Electro house**Melodic House**",IF(SUM(COUNTIF(H3,{"*EDM*"})),"**EDM**Electro house**Dance Pop**",IF(H3="","","")))))))</f>
        <v/>
      </c>
      <c r="Z3">
        <f t="array" ref="Z3">IF(SUM(COUNTIF(H3,{"*Deep*";"*Bass*";"*Slap*"})),"Energetic,Happy",IF(SUM(COUNTIF(H3,{"*Lo-Fi*"})),"Romantic,Chill",IF(SUM(COUNTIF(H3,{"*Tech*"})),"Energetic,Happy",IF(SUM(COUNTIF(H3,{"*Indie/Chill Dance*"})),"Energetic,Chill",IF(SUM(COUNTIF(H3,{"*Piano*"})),"Energetic,Happy",IF(SUM(COUNTIF(H3,{"*EDM*"})),"Energetic,Happy",IF(H3="","","")))))))</f>
        <v/>
      </c>
      <c r="AA3">
        <f t="array" ref="AA3">IF(SUM(COUNTIF(H3,{"*Deep*";"*Bass*";"*Slap*"})),"None of these",IF(SUM(COUNTIF(H3,{"*Lo-Fi*"})),"Holiday,Beats",IF(SUM(COUNTIF(H3,{"*Tech*"})),"None of these",IF(SUM(COUNTIF(H3,{"*Indie/Chill Dance*"})),"None of these",IF(SUM(COUNTIF(H3,{"*Piano*"})),"None of these",IF(SUM(COUNTIF(H3,{"*EDM*"})),"None of these",IF(H3="","","")))))))</f>
        <v/>
      </c>
      <c r="AB3">
        <f t="array" ref="AB3">IF(SUM(COUNTIF(H3,{"*Deep*";"*Bass*";"*Slap*"})),"Samples,Synthesizer,Bass Guitar,Piano,Drum Kit,Electric Guitar",IF(SUM(COUNTIF(H3,{"*Lo-Fi*"})),"Samples,Synthesizer,Bass Guitar,Piano,Drum Kit,Electric Guitar",IF(SUM(COUNTIF(H3,{"*Tech*"})),"Samples,Synthesizer,Bass Guitar,Piano,Drum Kit,Electric Guitar",IF(SUM(COUNTIF(H3,{"*Indie/Chill Dance*"})),"Samples,Synthesizer,Bass Guitar,Piano,Drum Kit,Electric Guitar",IF(SUM(COUNTIF(H3,{"*Piano*"})),"Samples,Synthesizer,Bass Guitar,Piano,Drum Kit,Electric Guitar",IF(SUM(COUNTIF(H3,{"*EDM*"})),"Samples,Synthesizer,Bass Guitar,Piano,Drum Kit,Electric Guitar",IF(H3="","","")))))))</f>
        <v/>
      </c>
      <c r="AC3">
        <f t="array" ref="AC3">IF(N3="Cover","Yes",IF(SUM(COUNTIF(N3,{"*Radio/Extended*";"*Radio*";"*Remix*"})),"No",""))</f>
        <v/>
      </c>
      <c r="AD3">
        <f t="array" ref="AD3">IF(N3="Remix","Yes",IF(SUM(COUNTIF(N3,{"*Radio/Extended*";"*Radio*";"*Cover*"})),"No",""))</f>
        <v/>
      </c>
      <c r="AE3">
        <f>IF(ISTEXT(A3),"**English**","")</f>
        <v/>
      </c>
      <c r="AF3">
        <f t="array" aca="1" ref="AF3" ca="1">+TRIM(SUBSTITUTE(SUBSTITUTE(SUBSTITUTE(SUBSTITUTE(IFERROR(AO3&amp;" "&amp;+_xlfn.XLOOKUP(((SUM(LEN(AN3))-SUM(LEN(SUBSTITUTE(AN3,",",""))))/LEN(",")+1)&amp;H3,AV:AV&amp;AW:AW,AY:AY)&amp;CHAR(34)&amp;B3&amp;CHAR(34)&amp;"!"&amp;_xlfn.XLOOKUP(H3,text_list[Genre],text_list[Type based on genre]&amp;text_list[Label]),""),"Second",AP3),"Third",AQ3),"Forth",AR3),"Fifth",AS3&amp;" "))</f>
        <v/>
      </c>
      <c r="AG3">
        <f t="array" ref="AG3">IF(SUM(COUNTIF(H3,{"*Deep*";"*Bass*";"*Slap*"})),"**Deep House**Progressive House**House**",IF(SUM(COUNTIF(H3,{"*Lo-Fi*"})),"**Lo-Fi Hip Hop**Indie &amp; Lo Fi**Lounge**",IF(SUM(COUNTIF(H3,{"*Tech*"})),"**Tech House**Techno**Future House**",IF(SUM(COUNTIF(H3,{"*Indie/Chill Dance*"})),"**Chill Electronic**Indie Dance**Ambient**",IF(SUM(COUNTIF(H3,{"*Piano*"})),"**Progressive House**House**Dance Pop**",IF(SUM(COUNTIF(H3,{"*EDM*"})),"**Progressive House**House**EDM**",IF(H3="","","")))))))</f>
        <v/>
      </c>
      <c r="AH3">
        <f>IF(N3="Remix","Remix",IF(N3="Cover","Cover",IF(N3="Radio","Original",IF(N3="Radio/Extended","Original",""))))</f>
        <v/>
      </c>
      <c r="AI3">
        <f t="array" ref="AI3">IF(SUM(COUNTIF(H3,{"*Deep*";"*Bass*";"*Slap*"})),"**Tiësto**Imanbek**",IF(SUM(COUNTIF(H3,{"*Lo-Fi*"})),"**L.Dre**Yasumu**",IF(SUM(COUNTIF(H3,{"*Tech*"})),"**Mau P**Gorgon City**",IF(SUM(COUNTIF(H3,{"*Indie/Chill Dance*"})),"**Felix Jaehn**Lost Frequencies**",IF(SUM(COUNTIF(H3,{"*Piano*"})),"**Avicii**Eric Prydz**",IF(SUM(COUNTIF(H3,{"*EDM*"})),"**David Guetta**Swedish House Mafia**",IF(H3="","","")))))))</f>
        <v/>
      </c>
      <c r="AJ3">
        <f t="array" aca="1" ref="AJ3" ca="1">+IFERROR(INDEX(INDIRECT((_xlfn.XLOOKUP(H3,map_country[Genre],map_country[country]))),RANK(INDIRECT((_xlfn.XLOOKUP(H3,map_country[Genre],map_country[min])),FALSE),INDIRECT((_xlfn.XLOOKUP(H3,map_country[Genre],map_country[rand]))),1)),"")</f>
        <v/>
      </c>
      <c r="AK3">
        <f t="array" ref="AK3">IF(SUM(COUNTIF(H3,{"*Deep*";"*Bass*";"*Slap*"})),"Cool,Upbeat,Dark",IF(SUM(COUNTIF(H3,{"*Lo-Fi*"})),"Sexy,Relaxing,Romantic",IF(SUM(COUNTIF(H3,{"*Tech*"})),"Cool,Upbeat,Dark",IF(SUM(COUNTIF(H3,{"*Indie/Chill Dance*"})),"Cool,Upbeat,Light",IF(SUM(COUNTIF(H3,{"*Piano*"})),"Cool,Upbeat,Light",IF(SUM(COUNTIF(H3,{"*EDM*"})),"Cool,Upbeat,Happy Mood",IF(H3="","","")))))))</f>
        <v/>
      </c>
      <c r="AL3">
        <f t="array" ref="AL3">IF(SUM(COUNTIF(H3,{"*Deep*";"*Bass*";"*Slap*"})),"Hard &amp; Heavy,Chilling Out &amp; Lounging,Happy &amp; Upbeat",IF(SUM(COUNTIF(H3,{"*Lo-Fi*"})),"Work, Study &amp; Reading,Chilling Out &amp; Lounging,Relaxed &amp; Laid Back",IF(SUM(COUNTIF(H3,{"*Tech*"})),"Hard &amp; Heavy,Chilling Out &amp; Lounging,Happy &amp; Upbeat",IF(SUM(COUNTIF(H3,{"*Indie/Chill Dance*"})),"Hard &amp; Heavy,Chilling Out &amp; Lounging,Happy &amp; Upbeat",IF(SUM(COUNTIF(H3,{"*Piano*"})),"Hard &amp; Heavy,Chilling Out &amp; Lounging,Happy &amp; Upbeat",IF(SUM(COUNTIF(H3,{"*EDM*"})),"Hard &amp; Heavy,Chilling Out &amp; Lounging,Happy &amp; Upbeat",IF(H3="","","")))))))</f>
        <v/>
      </c>
      <c r="AN3" s="20">
        <f>TRIM(SUBSTITUTE(SUBSTITUTE(SUBSTITUTE(A4,"&amp;",","),"feat",","),".",""))</f>
        <v/>
      </c>
      <c r="AO3" s="20">
        <f>IFERROR(_xlfn.TEXTBEFORE(AN3,","),AN3)</f>
        <v/>
      </c>
      <c r="AP3" s="20">
        <f>IFERROR(TRIM(SUBSTITUTE(SUBSTITUTE(SUBSTITUTE(SUBSTITUTE(_xlfn.TEXTAFTER(AN3,",",1),AQ3,""),AR3,""),AS3,""),",","")),"")</f>
        <v/>
      </c>
      <c r="AQ3" s="20">
        <f>IFERROR(SUBSTITUTE(SUBSTITUTE(SUBSTITUTE(_xlfn.TEXTAFTER(AN3,",",2),AR3,""),",",""),AS3,""),"")</f>
        <v/>
      </c>
      <c r="AR3" s="20">
        <f>IFERROR(SUBSTITUTE(SUBSTITUTE(_xlfn.TEXTAFTER(AN3,",",3),AS3,""),",",""),"")</f>
        <v/>
      </c>
      <c r="AS3" s="20">
        <f>IFERROR(_xlfn.TEXTAFTER(AN3,",",4),"")</f>
        <v/>
      </c>
      <c r="AV3" s="11" t="n">
        <v>2</v>
      </c>
      <c r="AW3" s="8" t="inlineStr">
        <is>
          <t>Deep House</t>
        </is>
      </c>
      <c r="AX3"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3">
        <f>+_xlfn.TEXTBEFORE(text_list[[#This Row],[Text]],"''''!",,0)</f>
        <v/>
      </c>
      <c r="AZ3">
        <f>+_xlfn.TEXTBEFORE(_xlfn.TEXTAFTER(text_list[[#This Row],[Text]],"'''!"),"Label")</f>
        <v/>
      </c>
      <c r="BA3">
        <f>+_xlfn.TEXTAFTER(text_list[[#This Row],[Text]],text_list[[#This Row],[Type based on genre]])</f>
        <v/>
      </c>
      <c r="BB3" t="inlineStr">
        <is>
          <t xml:space="preserve"> </t>
        </is>
      </c>
      <c r="BE3" t="inlineStr">
        <is>
          <t>Tokyo, Tokyo, Japan</t>
        </is>
      </c>
      <c r="BF3" t="inlineStr">
        <is>
          <t>Deep House</t>
        </is>
      </c>
      <c r="BG3">
        <f>+RAND()</f>
        <v/>
      </c>
      <c r="BI3" t="inlineStr">
        <is>
          <t>Paris, Île-de-France Region, France</t>
        </is>
      </c>
      <c r="BJ3" t="inlineStr">
        <is>
          <t>Tech House</t>
        </is>
      </c>
      <c r="BK3">
        <f>+RAND()</f>
        <v/>
      </c>
      <c r="BL3">
        <f>+tech[[#This Row],[Rand]]</f>
        <v/>
      </c>
      <c r="BN3" t="inlineStr">
        <is>
          <t>Ankara, Ankara, Turkey</t>
        </is>
      </c>
      <c r="BO3" t="inlineStr">
        <is>
          <t>Piano House</t>
        </is>
      </c>
      <c r="BP3">
        <f>+RAND()</f>
        <v/>
      </c>
      <c r="BR3" t="inlineStr">
        <is>
          <t>Oslo, Oslo, Norway</t>
        </is>
      </c>
      <c r="BS3" t="inlineStr">
        <is>
          <t>Indie/Chill Dance</t>
        </is>
      </c>
      <c r="BT3">
        <f>+RAND()</f>
        <v/>
      </c>
      <c r="BV3" t="inlineStr">
        <is>
          <t>Salvador, Estado de Bahia, Brazil</t>
        </is>
      </c>
      <c r="BW3" t="inlineStr">
        <is>
          <t>Slap House</t>
        </is>
      </c>
      <c r="BX3">
        <f>+RAND()</f>
        <v/>
      </c>
      <c r="BZ3" t="inlineStr">
        <is>
          <t>Goiânia, Goiás, Brazil</t>
        </is>
      </c>
      <c r="CA3" t="inlineStr">
        <is>
          <t>Brazilian Bass</t>
        </is>
      </c>
      <c r="CB3">
        <f>+RAND()</f>
        <v/>
      </c>
      <c r="CD3" t="inlineStr">
        <is>
          <t>Salvador, Estado de Bahia, Brazil</t>
        </is>
      </c>
      <c r="CE3" t="inlineStr">
        <is>
          <t>EDM</t>
        </is>
      </c>
      <c r="CF3">
        <f>+RAND()</f>
        <v/>
      </c>
    </row>
    <row r="4">
      <c r="A4" t="inlineStr">
        <is>
          <t>Black Winter &amp; Primary Disguise</t>
        </is>
      </c>
      <c r="B4" t="inlineStr">
        <is>
          <t>Far Away</t>
        </is>
      </c>
      <c r="C4" t="inlineStr">
        <is>
          <t>Turkey</t>
        </is>
      </c>
      <c r="D4" t="inlineStr">
        <is>
          <t>November 11th, 2022</t>
        </is>
      </c>
      <c r="E4" t="inlineStr">
        <is>
          <t>11.11.2022</t>
        </is>
      </c>
      <c r="F4" s="3" t="n">
        <v>5063113559761</v>
      </c>
      <c r="G4" t="inlineStr">
        <is>
          <t xml:space="preserve">GX89G2250072
</t>
        </is>
      </c>
      <c r="H4" s="7" t="inlineStr">
        <is>
          <t>EDM</t>
        </is>
      </c>
      <c r="I4" t="inlineStr">
        <is>
          <t>2</t>
        </is>
      </c>
      <c r="J4" t="inlineStr">
        <is>
          <t>07</t>
        </is>
      </c>
      <c r="K4" t="inlineStr">
        <is>
          <t>https://soundcloud.com/daydoseofhouse/black-winter-primary-disguise-far-away/s-eBfupIEywtN?si=3a913c68549e4cecafa2d6aa64c2fabc&amp;utm_source=clipboard&amp;utm_medium=text&amp;utm_campaign=social_sharing</t>
        </is>
      </c>
      <c r="L4" t="inlineStr">
        <is>
          <t>Day Dose Of House</t>
        </is>
      </c>
      <c r="M4" t="n">
        <v>1</v>
      </c>
      <c r="N4" t="inlineStr">
        <is>
          <t>Radio</t>
        </is>
      </c>
      <c r="O4">
        <f>IF(N4="Remix","Citas:Remix",IF(N4="Cover","Citas:Cover",IF(N4="Radio","Single",IF(N4="Radio/Extended","Single",""))))</f>
        <v/>
      </c>
      <c r="P4">
        <f>IF(M4=1,"High_Priority",IF(M4=2,"Priority",IF(M4=3,"General_Release",IF(M4=4,"General_Release",IF(M4="","")))))</f>
        <v/>
      </c>
      <c r="Q4">
        <f>IF(N4="Remix","Citas:Remix",IF(N4="Cover","Citas:Cover",IF(N4="Radio","Single",IF(N4="Radio/Extended","Single",""))))</f>
        <v/>
      </c>
      <c r="R4">
        <f t="array" ref="R4">IF(SUM(COUNTIF(H4,{"*Deep*";"*Bass*";"*Slap*"})),"Citas:Deep House",IF(SUM(COUNTIF(H4,{"*Lo-Fi*"})),"Citas:Lo-Fi",IF(SUM(COUNTIF(H4,{"*Tech*"})),"Citas:Tech House",IF(SUM(COUNTIF(H4,{"*Indie/Chill Dance*"})),"Citas:Indie/Chill Dance",IF(SUM(COUNTIF(H4,{"*Piano*"})),"Citas:Piano House",IF(SUM(COUNTIF(H4,{"*EDM*"})),"edm dance",IF(H4="","","")))))))</f>
        <v/>
      </c>
      <c r="S4">
        <f t="array" ref="S4">IF(SUM(COUNTIF(H4,{"*Deep*";"*Bass*";"*Slap*"})),"energetic",IF(SUM(COUNTIF(H4,{"*Lo-Fi*"})),"calm",IF(SUM(COUNTIF(H4,{"*Tech*"})),"energetic",IF(SUM(COUNTIF(H4,{"*Indie/Chill Dance*"})),"chillout",IF(SUM(COUNTIF(H4,{"*Piano*"})),"energetic",IF(SUM(COUNTIF(H4,{"*EDM*"})),"energetic",IF(H4="","","")))))))</f>
        <v/>
      </c>
      <c r="T4">
        <f t="array" ref="T4">IF(SUM(COUNTIF(H4,{"*Tech*";"*EDM*";"*Indie*";"*Deep*";"*Piano*";"*Slap*";"*Brazilian Bass*"})),"Song would perfectly fit in any dance mood playlist! Label will invest up to 5000 EUR advertising on facebook and instagram ads aswell as promoting it over label and label partners playlists, radio stations and press.",IF(SUM(COUNTIF(H4,{"*Lo-Fi*"})),"Song would perfectly fit in any Lo-Fi mood playlist! Label will invest up to 5000 EUR advertising on facebook and instagram ads aswell as promoting it over label and label partners playlists, radio stations and press.",IF(H4="","","")))</f>
        <v/>
      </c>
      <c r="U4">
        <f>IF(N4="Cover","SGL",IF(N4="Radio","SGL",IF(N4="Remix","RMX",IF(N4="","","SGL"))))</f>
        <v/>
      </c>
      <c r="V4">
        <f>IF(L4="Floating Blue Records","Instrumental only",IF(L4="Day Dose Of House","Electronic, Dance, Deep House",""))</f>
        <v/>
      </c>
      <c r="X4">
        <f t="array" aca="1" ref="X4" ca="1">+IF(H4="LO-FI","",IFERROR(INDEX(INDIRECT((_xlfn.XLOOKUP(H4,map_location[Genre],map_location[location]))),RANK(INDIRECT((_xlfn.XLOOKUP(H4,map_location[Genre],map_location[min])),FALSE),INDIRECT((_xlfn.XLOOKUP(H4,map_location[Genre],map_location[rand]))),1)),""))</f>
        <v/>
      </c>
      <c r="Y4">
        <f t="array" ref="Y4">IF(SUM(COUNTIF(H4,{"*Deep*";"*Bass*";"*Slap*"})),"**Deep House**House**Dance**",IF(SUM(COUNTIF(H4,{"*Lo-Fi*"})),"**Lo-Fi Pop**Lo-Fi Beats**Lo-Fi**",IF(SUM(COUNTIF(H4,{"*Tech*"})),"**Deep House**Tech House**Dance**",IF(SUM(COUNTIF(H4,{"*Indie/Chill Dance*"})),"**Indie Dance**Indie Electronic**Dance Pop**",IF(SUM(COUNTIF(H4,{"*Piano*"})),"**House**Electro house**Melodic House**",IF(SUM(COUNTIF(H4,{"*EDM*"})),"**EDM**Electro house**Dance Pop**",IF(H4="","","")))))))</f>
        <v/>
      </c>
      <c r="Z4">
        <f t="array" ref="Z4">IF(SUM(COUNTIF(H4,{"*Deep*";"*Bass*";"*Slap*"})),"Energetic,Happy",IF(SUM(COUNTIF(H4,{"*Lo-Fi*"})),"Romantic,Chill",IF(SUM(COUNTIF(H4,{"*Tech*"})),"Energetic,Happy",IF(SUM(COUNTIF(H4,{"*Indie/Chill Dance*"})),"Energetic,Chill",IF(SUM(COUNTIF(H4,{"*Piano*"})),"Energetic,Happy",IF(SUM(COUNTIF(H4,{"*EDM*"})),"Energetic,Happy",IF(H4="","","")))))))</f>
        <v/>
      </c>
      <c r="AA4">
        <f t="array" ref="AA4">IF(SUM(COUNTIF(H4,{"*Deep*";"*Bass*";"*Slap*"})),"None of these",IF(SUM(COUNTIF(H4,{"*Lo-Fi*"})),"Holiday,Beats",IF(SUM(COUNTIF(H4,{"*Tech*"})),"None of these",IF(SUM(COUNTIF(H4,{"*Indie/Chill Dance*"})),"None of these",IF(SUM(COUNTIF(H4,{"*Piano*"})),"None of these",IF(SUM(COUNTIF(H4,{"*EDM*"})),"None of these",IF(H4="","","")))))))</f>
        <v/>
      </c>
      <c r="AB4">
        <f t="array" ref="AB4">IF(SUM(COUNTIF(H4,{"*Deep*";"*Bass*";"*Slap*"})),"Samples,Synthesizer,Bass Guitar,Piano,Drum Kit,Electric Guitar",IF(SUM(COUNTIF(H4,{"*Lo-Fi*"})),"Samples,Synthesizer,Bass Guitar,Piano,Drum Kit,Electric Guitar",IF(SUM(COUNTIF(H4,{"*Tech*"})),"Samples,Synthesizer,Bass Guitar,Piano,Drum Kit,Electric Guitar",IF(SUM(COUNTIF(H4,{"*Indie/Chill Dance*"})),"Samples,Synthesizer,Bass Guitar,Piano,Drum Kit,Electric Guitar",IF(SUM(COUNTIF(H4,{"*Piano*"})),"Samples,Synthesizer,Bass Guitar,Piano,Drum Kit,Electric Guitar",IF(SUM(COUNTIF(H4,{"*EDM*"})),"Samples,Synthesizer,Bass Guitar,Piano,Drum Kit,Electric Guitar",IF(H4="","","")))))))</f>
        <v/>
      </c>
      <c r="AC4">
        <f t="array" ref="AC4">IF(N4="Cover","Yes",IF(SUM(COUNTIF(N4,{"*Radio/Extended*";"*Radio*";"*Remix*"})),"No",""))</f>
        <v/>
      </c>
      <c r="AD4">
        <f t="array" ref="AD4">IF(N4="Remix","Yes",IF(SUM(COUNTIF(N4,{"*Radio/Extended*";"*Radio*";"*Cover*"})),"No",""))</f>
        <v/>
      </c>
      <c r="AE4">
        <f>IF(ISTEXT(A4),"**English**","")</f>
        <v/>
      </c>
      <c r="AF4">
        <f t="array" aca="1" ref="AF4" ca="1">+TRIM(SUBSTITUTE(SUBSTITUTE(SUBSTITUTE(SUBSTITUTE(IFERROR(AO4&amp;" "&amp;+_xlfn.XLOOKUP(((SUM(LEN(AN4))-SUM(LEN(SUBSTITUTE(AN4,",",""))))/LEN(",")+1)&amp;H4,AV:AV&amp;AW:AW,AY:AY)&amp;CHAR(34)&amp;B4&amp;CHAR(34)&amp;"!"&amp;_xlfn.XLOOKUP(H4,text_list[Genre],text_list[Type based on genre]&amp;text_list[Label]),""),"Second",AP4),"Third",AQ4),"Forth",AR4),"Fifth",AS4&amp;" "))</f>
        <v/>
      </c>
      <c r="AG4">
        <f t="array" ref="AG4">IF(SUM(COUNTIF(H4,{"*Deep*";"*Bass*";"*Slap*"})),"**Deep House**Progressive House**House**",IF(SUM(COUNTIF(H4,{"*Lo-Fi*"})),"**Lo-Fi Hip Hop**Indie &amp; Lo Fi**Lounge**",IF(SUM(COUNTIF(H4,{"*Tech*"})),"**Tech House**Techno**Future House**",IF(SUM(COUNTIF(H4,{"*Indie/Chill Dance*"})),"**Chill Electronic**Indie Dance**Ambient**",IF(SUM(COUNTIF(H4,{"*Piano*"})),"**Progressive House**House**Dance Pop**",IF(SUM(COUNTIF(H4,{"*EDM*"})),"**Progressive House**House**EDM**",IF(H4="","","")))))))</f>
        <v/>
      </c>
      <c r="AH4">
        <f>IF(N4="Remix","Remix",IF(N4="Cover","Cover",IF(N4="Radio","Original",IF(N4="Radio/Extended","Original",""))))</f>
        <v/>
      </c>
      <c r="AI4">
        <f t="array" ref="AI4">IF(SUM(COUNTIF(H4,{"*Deep*";"*Bass*";"*Slap*"})),"**Tiësto**Imanbek**",IF(SUM(COUNTIF(H4,{"*Lo-Fi*"})),"**L.Dre**Yasumu**",IF(SUM(COUNTIF(H4,{"*Tech*"})),"**Mau P**Gorgon City**",IF(SUM(COUNTIF(H4,{"*Indie/Chill Dance*"})),"**Felix Jaehn**Lost Frequencies**",IF(SUM(COUNTIF(H4,{"*Piano*"})),"**Avicii**Eric Prydz**",IF(SUM(COUNTIF(H4,{"*EDM*"})),"**David Guetta**Swedish House Mafia**",IF(H4="","","")))))))</f>
        <v/>
      </c>
      <c r="AJ4">
        <f t="array" aca="1" ref="AJ4" ca="1">+IFERROR(INDEX(INDIRECT((_xlfn.XLOOKUP(H4,map_country[Genre],map_country[country]))),RANK(INDIRECT((_xlfn.XLOOKUP(H4,map_country[Genre],map_country[min])),FALSE),INDIRECT((_xlfn.XLOOKUP(H4,map_country[Genre],map_country[rand]))),1)),"")</f>
        <v/>
      </c>
      <c r="AK4">
        <f t="array" ref="AK4">IF(SUM(COUNTIF(H4,{"*Deep*";"*Bass*";"*Slap*"})),"Cool,Upbeat,Dark",IF(SUM(COUNTIF(H4,{"*Lo-Fi*"})),"Sexy,Relaxing,Romantic",IF(SUM(COUNTIF(H4,{"*Tech*"})),"Cool,Upbeat,Dark",IF(SUM(COUNTIF(H4,{"*Indie/Chill Dance*"})),"Cool,Upbeat,Light",IF(SUM(COUNTIF(H4,{"*Piano*"})),"Cool,Upbeat,Light",IF(SUM(COUNTIF(H4,{"*EDM*"})),"Cool,Upbeat,Happy Mood",IF(H4="","","")))))))</f>
        <v/>
      </c>
      <c r="AL4">
        <f t="array" ref="AL4">IF(SUM(COUNTIF(H4,{"*Deep*";"*Bass*";"*Slap*"})),"Hard &amp; Heavy,Chilling Out &amp; Lounging,Happy &amp; Upbeat",IF(SUM(COUNTIF(H4,{"*Lo-Fi*"})),"Work, Study &amp; Reading,Chilling Out &amp; Lounging,Relaxed &amp; Laid Back",IF(SUM(COUNTIF(H4,{"*Tech*"})),"Hard &amp; Heavy,Chilling Out &amp; Lounging,Happy &amp; Upbeat",IF(SUM(COUNTIF(H4,{"*Indie/Chill Dance*"})),"Hard &amp; Heavy,Chilling Out &amp; Lounging,Happy &amp; Upbeat",IF(SUM(COUNTIF(H4,{"*Piano*"})),"Hard &amp; Heavy,Chilling Out &amp; Lounging,Happy &amp; Upbeat",IF(SUM(COUNTIF(H4,{"*EDM*"})),"Hard &amp; Heavy,Chilling Out &amp; Lounging,Happy &amp; Upbeat",IF(H4="","","")))))))</f>
        <v/>
      </c>
      <c r="AN4" s="20">
        <f>TRIM(SUBSTITUTE(SUBSTITUTE(SUBSTITUTE(A5,"&amp;",","),"feat",","),".",""))</f>
        <v/>
      </c>
      <c r="AO4" s="20">
        <f>IFERROR(_xlfn.TEXTBEFORE(AN4,","),AN4)</f>
        <v/>
      </c>
      <c r="AP4" s="20">
        <f>IFERROR(TRIM(SUBSTITUTE(SUBSTITUTE(SUBSTITUTE(SUBSTITUTE(_xlfn.TEXTAFTER(AN4,",",1),AQ4,""),AR4,""),AS4,""),",","")),"")</f>
        <v/>
      </c>
      <c r="AQ4" s="20">
        <f>IFERROR(SUBSTITUTE(SUBSTITUTE(SUBSTITUTE(_xlfn.TEXTAFTER(AN4,",",2),AR4,""),",",""),AS4,""),"")</f>
        <v/>
      </c>
      <c r="AR4" s="20">
        <f>IFERROR(SUBSTITUTE(SUBSTITUTE(_xlfn.TEXTAFTER(AN4,",",3),AS4,""),",",""),"")</f>
        <v/>
      </c>
      <c r="AS4" s="20">
        <f>IFERROR(_xlfn.TEXTAFTER(AN4,",",4),"")</f>
        <v/>
      </c>
      <c r="AV4" s="11" t="n">
        <v>3</v>
      </c>
      <c r="AW4" s="8" t="inlineStr">
        <is>
          <t>Deep House</t>
        </is>
      </c>
      <c r="AX4"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4">
        <f>+_xlfn.TEXTBEFORE(text_list[[#This Row],[Text]],"''''!",,0)</f>
        <v/>
      </c>
      <c r="AZ4">
        <f>+_xlfn.TEXTBEFORE(_xlfn.TEXTAFTER(text_list[[#This Row],[Text]],"'''!"),"Label")</f>
        <v/>
      </c>
      <c r="BA4">
        <f>+_xlfn.TEXTAFTER(text_list[[#This Row],[Text]],text_list[[#This Row],[Type based on genre]])</f>
        <v/>
      </c>
      <c r="BB4" t="inlineStr">
        <is>
          <t xml:space="preserve"> </t>
        </is>
      </c>
      <c r="BE4" t="inlineStr">
        <is>
          <t>Warsaw, Masovian, Poland</t>
        </is>
      </c>
      <c r="BF4" t="inlineStr">
        <is>
          <t>Deep House</t>
        </is>
      </c>
      <c r="BG4">
        <f>+RAND()</f>
        <v/>
      </c>
      <c r="BI4" t="inlineStr">
        <is>
          <t>Berlin, Berlin, Germany</t>
        </is>
      </c>
      <c r="BJ4" t="inlineStr">
        <is>
          <t>Tech House</t>
        </is>
      </c>
      <c r="BK4">
        <f>+RAND()</f>
        <v/>
      </c>
      <c r="BL4">
        <f>+tech[[#This Row],[Rand]]</f>
        <v/>
      </c>
      <c r="BN4" t="inlineStr">
        <is>
          <t>Helsinki, Uusimaa, Finland</t>
        </is>
      </c>
      <c r="BO4" t="inlineStr">
        <is>
          <t>Piano House</t>
        </is>
      </c>
      <c r="BP4">
        <f>+RAND()</f>
        <v/>
      </c>
      <c r="BR4" t="inlineStr">
        <is>
          <t>Bern, Canton of Bern, Switzerland</t>
        </is>
      </c>
      <c r="BS4" t="inlineStr">
        <is>
          <t>Indie/Chill Dance</t>
        </is>
      </c>
      <c r="BT4">
        <f>+RAND()</f>
        <v/>
      </c>
      <c r="BV4" t="inlineStr">
        <is>
          <t>Tokyo, Tokyo, Japan</t>
        </is>
      </c>
      <c r="BW4" t="inlineStr">
        <is>
          <t>Slap House</t>
        </is>
      </c>
      <c r="BX4">
        <f>+RAND()</f>
        <v/>
      </c>
      <c r="BZ4" t="inlineStr">
        <is>
          <t>Buenos Aires, Buenos Aires F.D., Argentina</t>
        </is>
      </c>
      <c r="CA4" t="inlineStr">
        <is>
          <t>Brazilian Bass</t>
        </is>
      </c>
      <c r="CB4">
        <f>+RAND()</f>
        <v/>
      </c>
      <c r="CD4" t="inlineStr">
        <is>
          <t>Tokyo, Tokyo, Japan</t>
        </is>
      </c>
      <c r="CE4" t="inlineStr">
        <is>
          <t>EDM</t>
        </is>
      </c>
      <c r="CF4">
        <f>+RAND()</f>
        <v/>
      </c>
    </row>
    <row r="5">
      <c r="A5" t="inlineStr">
        <is>
          <t>Stone Forte</t>
        </is>
      </c>
      <c r="B5" t="inlineStr">
        <is>
          <t>Smoking Me Out</t>
        </is>
      </c>
      <c r="C5" t="inlineStr">
        <is>
          <t>UK</t>
        </is>
      </c>
      <c r="D5" t="inlineStr">
        <is>
          <t>November 4th, 2022</t>
        </is>
      </c>
      <c r="E5" t="inlineStr">
        <is>
          <t>04.11.2022</t>
        </is>
      </c>
      <c r="F5" s="3" t="n">
        <v>5059741316203</v>
      </c>
      <c r="G5" t="inlineStr">
        <is>
          <t xml:space="preserve">GX89G2249952
</t>
        </is>
      </c>
      <c r="H5" s="7" t="inlineStr">
        <is>
          <t>Tech House</t>
        </is>
      </c>
      <c r="I5" t="inlineStr">
        <is>
          <t>3</t>
        </is>
      </c>
      <c r="J5" t="inlineStr">
        <is>
          <t>34</t>
        </is>
      </c>
      <c r="K5" t="inlineStr">
        <is>
          <t>https://soundcloud.com/daydoseofhouse/stone-forte-smoking-me-out/s-6bbWo2i9SHr?si=5726cc978c394c7b9c4253dd7ace281a&amp;utm_source=clipboard&amp;utm_medium=text&amp;utm_campaign=social_sharing</t>
        </is>
      </c>
      <c r="L5" t="inlineStr">
        <is>
          <t>Day Dose Of House</t>
        </is>
      </c>
      <c r="M5" t="n">
        <v>2</v>
      </c>
      <c r="N5" t="inlineStr">
        <is>
          <t>Radio/Extended</t>
        </is>
      </c>
      <c r="O5">
        <f>IF(N5="Remix","Citas:Remix",IF(N5="Cover","Citas:Cover",IF(N5="Radio","Single",IF(N5="Radio/Extended","Single",""))))</f>
        <v/>
      </c>
      <c r="P5">
        <f>IF(M5=1,"High_Priority",IF(M5=2,"Priority",IF(M5=3,"General_Release",IF(M5=4,"General_Release",IF(M5="","")))))</f>
        <v/>
      </c>
      <c r="Q5">
        <f>IF(N5="Remix","Citas:Remix",IF(N5="Cover","Citas:Cover",IF(N5="Radio","Single",IF(N5="Radio/Extended","Single",""))))</f>
        <v/>
      </c>
      <c r="R5">
        <f t="array" ref="R5">IF(SUM(COUNTIF(H5,{"*Deep*";"*Bass*";"*Slap*"})),"Citas:Deep House",IF(SUM(COUNTIF(H5,{"*Lo-Fi*"})),"Citas:Lo-Fi",IF(SUM(COUNTIF(H5,{"*Tech*"})),"Citas:Tech House",IF(SUM(COUNTIF(H5,{"*Indie/Chill Dance*"})),"Citas:Indie/Chill Dance",IF(SUM(COUNTIF(H5,{"*Piano*"})),"Citas:Piano House",IF(SUM(COUNTIF(H5,{"*EDM*"})),"edm dance",IF(H5="","","")))))))</f>
        <v/>
      </c>
      <c r="S5">
        <f t="array" ref="S5">IF(SUM(COUNTIF(H5,{"*Deep*";"*Bass*";"*Slap*"})),"energetic",IF(SUM(COUNTIF(H5,{"*Lo-Fi*"})),"calm",IF(SUM(COUNTIF(H5,{"*Tech*"})),"energetic",IF(SUM(COUNTIF(H5,{"*Indie/Chill Dance*"})),"chillout",IF(SUM(COUNTIF(H5,{"*Piano*"})),"energetic",IF(SUM(COUNTIF(H5,{"*EDM*"})),"energetic",IF(H5="","","")))))))</f>
        <v/>
      </c>
      <c r="T5">
        <f t="array" ref="T5">IF(SUM(COUNTIF(H5,{"*Tech*";"*EDM*";"*Indie*";"*Deep*";"*Piano*";"*Slap*";"*Brazilian Bass*"})),"Song would perfectly fit in any dance mood playlist! Label will invest up to 5000 EUR advertising on facebook and instagram ads aswell as promoting it over label and label partners playlists, radio stations and press.",IF(SUM(COUNTIF(H5,{"*Lo-Fi*"})),"Song would perfectly fit in any Lo-Fi mood playlist! Label will invest up to 5000 EUR advertising on facebook and instagram ads aswell as promoting it over label and label partners playlists, radio stations and press.",IF(H5="","","")))</f>
        <v/>
      </c>
      <c r="U5">
        <f>IF(N5="Cover","SGL",IF(N5="Radio","SGL",IF(N5="Remix","RMX",IF(N5="","","SGL"))))</f>
        <v/>
      </c>
      <c r="V5">
        <f>IF(L5="Floating Blue Records","Instrumental only",IF(L5="Day Dose Of House","Electronic, Dance, Deep House",""))</f>
        <v/>
      </c>
      <c r="X5">
        <f t="array" aca="1" ref="X5" ca="1">+IF(H5="LO-FI","",IFERROR(INDEX(INDIRECT((_xlfn.XLOOKUP(H5,map_location[Genre],map_location[location]))),RANK(INDIRECT((_xlfn.XLOOKUP(H5,map_location[Genre],map_location[min])),FALSE),INDIRECT((_xlfn.XLOOKUP(H5,map_location[Genre],map_location[rand]))),1)),""))</f>
        <v/>
      </c>
      <c r="Y5">
        <f t="array" ref="Y5">IF(SUM(COUNTIF(H5,{"*Deep*";"*Bass*";"*Slap*"})),"**Deep House**House**Dance**",IF(SUM(COUNTIF(H5,{"*Lo-Fi*"})),"**Lo-Fi Pop**Lo-Fi Beats**Lo-Fi**",IF(SUM(COUNTIF(H5,{"*Tech*"})),"**Deep House**Tech House**Dance**",IF(SUM(COUNTIF(H5,{"*Indie/Chill Dance*"})),"**Indie Dance**Indie Electronic**Dance Pop**",IF(SUM(COUNTIF(H5,{"*Piano*"})),"**House**Electro house**Melodic House**",IF(SUM(COUNTIF(H5,{"*EDM*"})),"**EDM**Electro house**Dance Pop**",IF(H5="","","")))))))</f>
        <v/>
      </c>
      <c r="Z5">
        <f t="array" ref="Z5">IF(SUM(COUNTIF(H5,{"*Deep*";"*Bass*";"*Slap*"})),"Energetic,Happy",IF(SUM(COUNTIF(H5,{"*Lo-Fi*"})),"Romantic,Chill",IF(SUM(COUNTIF(H5,{"*Tech*"})),"Energetic,Happy",IF(SUM(COUNTIF(H5,{"*Indie/Chill Dance*"})),"Energetic,Chill",IF(SUM(COUNTIF(H5,{"*Piano*"})),"Energetic,Happy",IF(SUM(COUNTIF(H5,{"*EDM*"})),"Energetic,Happy",IF(H5="","","")))))))</f>
        <v/>
      </c>
      <c r="AA5">
        <f t="array" ref="AA5">IF(SUM(COUNTIF(H5,{"*Deep*";"*Bass*";"*Slap*"})),"None of these",IF(SUM(COUNTIF(H5,{"*Lo-Fi*"})),"Holiday,Beats",IF(SUM(COUNTIF(H5,{"*Tech*"})),"None of these",IF(SUM(COUNTIF(H5,{"*Indie/Chill Dance*"})),"None of these",IF(SUM(COUNTIF(H5,{"*Piano*"})),"None of these",IF(SUM(COUNTIF(H5,{"*EDM*"})),"None of these",IF(H5="","","")))))))</f>
        <v/>
      </c>
      <c r="AB5">
        <f t="array" ref="AB5">IF(SUM(COUNTIF(H5,{"*Deep*";"*Bass*";"*Slap*"})),"Samples,Synthesizer,Bass Guitar,Piano,Drum Kit,Electric Guitar",IF(SUM(COUNTIF(H5,{"*Lo-Fi*"})),"Samples,Synthesizer,Bass Guitar,Piano,Drum Kit,Electric Guitar",IF(SUM(COUNTIF(H5,{"*Tech*"})),"Samples,Synthesizer,Bass Guitar,Piano,Drum Kit,Electric Guitar",IF(SUM(COUNTIF(H5,{"*Indie/Chill Dance*"})),"Samples,Synthesizer,Bass Guitar,Piano,Drum Kit,Electric Guitar",IF(SUM(COUNTIF(H5,{"*Piano*"})),"Samples,Synthesizer,Bass Guitar,Piano,Drum Kit,Electric Guitar",IF(SUM(COUNTIF(H5,{"*EDM*"})),"Samples,Synthesizer,Bass Guitar,Piano,Drum Kit,Electric Guitar",IF(H5="","","")))))))</f>
        <v/>
      </c>
      <c r="AC5">
        <f t="array" ref="AC5">IF(N5="Cover","Yes",IF(SUM(COUNTIF(N5,{"*Radio/Extended*";"*Radio*";"*Remix*"})),"No",""))</f>
        <v/>
      </c>
      <c r="AD5">
        <f t="array" ref="AD5">IF(N5="Remix","Yes",IF(SUM(COUNTIF(N5,{"*Radio/Extended*";"*Radio*";"*Cover*"})),"No",""))</f>
        <v/>
      </c>
      <c r="AE5">
        <f>IF(ISTEXT(A5),"**English**","")</f>
        <v/>
      </c>
      <c r="AF5">
        <f t="array" aca="1" ref="AF5" ca="1">+TRIM(SUBSTITUTE(SUBSTITUTE(SUBSTITUTE(SUBSTITUTE(IFERROR(AO5&amp;" "&amp;+_xlfn.XLOOKUP(((SUM(LEN(AN5))-SUM(LEN(SUBSTITUTE(AN5,",",""))))/LEN(",")+1)&amp;H5,AV:AV&amp;AW:AW,AY:AY)&amp;CHAR(34)&amp;B5&amp;CHAR(34)&amp;"!"&amp;_xlfn.XLOOKUP(H5,text_list[Genre],text_list[Type based on genre]&amp;text_list[Label]),""),"Second",AP5),"Third",AQ5),"Forth",AR5),"Fifth",AS5&amp;" "))</f>
        <v/>
      </c>
      <c r="AG5">
        <f t="array" ref="AG5">IF(SUM(COUNTIF(H5,{"*Deep*";"*Bass*";"*Slap*"})),"**Deep House**Progressive House**House**",IF(SUM(COUNTIF(H5,{"*Lo-Fi*"})),"**Lo-Fi Hip Hop**Indie &amp; Lo Fi**Lounge**",IF(SUM(COUNTIF(H5,{"*Tech*"})),"**Tech House**Techno**Future House**",IF(SUM(COUNTIF(H5,{"*Indie/Chill Dance*"})),"**Chill Electronic**Indie Dance**Ambient**",IF(SUM(COUNTIF(H5,{"*Piano*"})),"**Progressive House**House**Dance Pop**",IF(SUM(COUNTIF(H5,{"*EDM*"})),"**Progressive House**House**EDM**",IF(H5="","","")))))))</f>
        <v/>
      </c>
      <c r="AH5">
        <f>IF(N5="Remix","Remix",IF(N5="Cover","Cover",IF(N5="Radio","Original",IF(N5="Radio/Extended","Original",""))))</f>
        <v/>
      </c>
      <c r="AI5">
        <f t="array" ref="AI5">IF(SUM(COUNTIF(H5,{"*Deep*";"*Bass*";"*Slap*"})),"**Tiësto**Imanbek**",IF(SUM(COUNTIF(H5,{"*Lo-Fi*"})),"**L.Dre**Yasumu**",IF(SUM(COUNTIF(H5,{"*Tech*"})),"**Mau P**Gorgon City**",IF(SUM(COUNTIF(H5,{"*Indie/Chill Dance*"})),"**Felix Jaehn**Lost Frequencies**",IF(SUM(COUNTIF(H5,{"*Piano*"})),"**Avicii**Eric Prydz**",IF(SUM(COUNTIF(H5,{"*EDM*"})),"**David Guetta**Swedish House Mafia**",IF(H5="","","")))))))</f>
        <v/>
      </c>
      <c r="AJ5">
        <f t="array" aca="1" ref="AJ5" ca="1">+IFERROR(INDEX(INDIRECT((_xlfn.XLOOKUP(H5,map_country[Genre],map_country[country]))),RANK(INDIRECT((_xlfn.XLOOKUP(H5,map_country[Genre],map_country[min])),FALSE),INDIRECT((_xlfn.XLOOKUP(H5,map_country[Genre],map_country[rand]))),1)),"")</f>
        <v/>
      </c>
      <c r="AK5">
        <f t="array" ref="AK5">IF(SUM(COUNTIF(H5,{"*Deep*";"*Bass*";"*Slap*"})),"Cool,Upbeat,Dark",IF(SUM(COUNTIF(H5,{"*Lo-Fi*"})),"Sexy,Relaxing,Romantic",IF(SUM(COUNTIF(H5,{"*Tech*"})),"Cool,Upbeat,Dark",IF(SUM(COUNTIF(H5,{"*Indie/Chill Dance*"})),"Cool,Upbeat,Light",IF(SUM(COUNTIF(H5,{"*Piano*"})),"Cool,Upbeat,Light",IF(SUM(COUNTIF(H5,{"*EDM*"})),"Cool,Upbeat,Happy Mood",IF(H5="","","")))))))</f>
        <v/>
      </c>
      <c r="AL5">
        <f t="array" ref="AL5">IF(SUM(COUNTIF(H5,{"*Deep*";"*Bass*";"*Slap*"})),"Hard &amp; Heavy,Chilling Out &amp; Lounging,Happy &amp; Upbeat",IF(SUM(COUNTIF(H5,{"*Lo-Fi*"})),"Work, Study &amp; Reading,Chilling Out &amp; Lounging,Relaxed &amp; Laid Back",IF(SUM(COUNTIF(H5,{"*Tech*"})),"Hard &amp; Heavy,Chilling Out &amp; Lounging,Happy &amp; Upbeat",IF(SUM(COUNTIF(H5,{"*Indie/Chill Dance*"})),"Hard &amp; Heavy,Chilling Out &amp; Lounging,Happy &amp; Upbeat",IF(SUM(COUNTIF(H5,{"*Piano*"})),"Hard &amp; Heavy,Chilling Out &amp; Lounging,Happy &amp; Upbeat",IF(SUM(COUNTIF(H5,{"*EDM*"})),"Hard &amp; Heavy,Chilling Out &amp; Lounging,Happy &amp; Upbeat",IF(H5="","","")))))))</f>
        <v/>
      </c>
      <c r="AN5" s="20">
        <f>TRIM(SUBSTITUTE(SUBSTITUTE(SUBSTITUTE(A6,"&amp;",","),"feat",","),".",""))</f>
        <v/>
      </c>
      <c r="AO5" s="20">
        <f>IFERROR(_xlfn.TEXTBEFORE(AN5,","),AN5)</f>
        <v/>
      </c>
      <c r="AP5" s="20">
        <f>IFERROR(TRIM(SUBSTITUTE(SUBSTITUTE(SUBSTITUTE(SUBSTITUTE(_xlfn.TEXTAFTER(AN5,",",1),AQ5,""),AR5,""),AS5,""),",","")),"")</f>
        <v/>
      </c>
      <c r="AQ5" s="20">
        <f>IFERROR(SUBSTITUTE(SUBSTITUTE(SUBSTITUTE(_xlfn.TEXTAFTER(AN5,",",2),AR5,""),",",""),AS5,""),"")</f>
        <v/>
      </c>
      <c r="AR5" s="20">
        <f>IFERROR(SUBSTITUTE(SUBSTITUTE(_xlfn.TEXTAFTER(AN5,",",3),AS5,""),",",""),"")</f>
        <v/>
      </c>
      <c r="AS5" s="20">
        <f>IFERROR(_xlfn.TEXTAFTER(AN5,",",4),"")</f>
        <v/>
      </c>
      <c r="AV5" s="11" t="n">
        <v>4</v>
      </c>
      <c r="AW5" s="8" t="inlineStr">
        <is>
          <t>Deep House</t>
        </is>
      </c>
      <c r="AX5" s="12" t="inlineStr">
        <is>
          <t>teamed up with Second ,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5">
        <f>+_xlfn.TEXTBEFORE(text_list[[#This Row],[Text]],"''''!",,0)</f>
        <v/>
      </c>
      <c r="AZ5">
        <f>+_xlfn.TEXTBEFORE(_xlfn.TEXTAFTER(text_list[[#This Row],[Text]],"'''!"),"Label")</f>
        <v/>
      </c>
      <c r="BA5">
        <f>+_xlfn.TEXTAFTER(text_list[[#This Row],[Text]],text_list[[#This Row],[Type based on genre]])</f>
        <v/>
      </c>
      <c r="BB5" t="inlineStr">
        <is>
          <t xml:space="preserve"> </t>
        </is>
      </c>
      <c r="BE5" t="inlineStr">
        <is>
          <t>Stockholm, Stockholm County, Sweden</t>
        </is>
      </c>
      <c r="BF5" t="inlineStr">
        <is>
          <t>Deep House</t>
        </is>
      </c>
      <c r="BG5">
        <f>+RAND()</f>
        <v/>
      </c>
      <c r="BI5" t="inlineStr">
        <is>
          <t>Salvador, Estado de Bahia, Brazil</t>
        </is>
      </c>
      <c r="BJ5" t="inlineStr">
        <is>
          <t>Tech House</t>
        </is>
      </c>
      <c r="BK5">
        <f>+RAND()</f>
        <v/>
      </c>
      <c r="BL5">
        <f>+tech[[#This Row],[Rand]]</f>
        <v/>
      </c>
      <c r="BN5" t="inlineStr">
        <is>
          <t>Mexico City, Mexico City, Mexico</t>
        </is>
      </c>
      <c r="BO5" t="inlineStr">
        <is>
          <t>Piano House</t>
        </is>
      </c>
      <c r="BP5">
        <f>+RAND()</f>
        <v/>
      </c>
      <c r="BR5" t="inlineStr">
        <is>
          <t>Ottawa, Ontario, Canada</t>
        </is>
      </c>
      <c r="BS5" t="inlineStr">
        <is>
          <t>Indie/Chill Dance</t>
        </is>
      </c>
      <c r="BT5">
        <f>+RAND()</f>
        <v/>
      </c>
      <c r="BV5" t="inlineStr">
        <is>
          <t>Amsterdam, North Holland, Netherlands</t>
        </is>
      </c>
      <c r="BW5" t="inlineStr">
        <is>
          <t>Slap House</t>
        </is>
      </c>
      <c r="BX5">
        <f>+RAND()</f>
        <v/>
      </c>
      <c r="BZ5" t="inlineStr">
        <is>
          <t>Salvador, Estado de Bahia, Brazil</t>
        </is>
      </c>
      <c r="CA5" t="inlineStr">
        <is>
          <t>Brazilian Bass</t>
        </is>
      </c>
      <c r="CB5">
        <f>+RAND()</f>
        <v/>
      </c>
      <c r="CD5" t="inlineStr">
        <is>
          <t>Amsterdam, North Holland, Netherlands</t>
        </is>
      </c>
      <c r="CE5" t="inlineStr">
        <is>
          <t>EDM</t>
        </is>
      </c>
      <c r="CF5">
        <f>+RAND()</f>
        <v/>
      </c>
    </row>
    <row r="6">
      <c r="A6" t="inlineStr">
        <is>
          <t>Cubfonic</t>
        </is>
      </c>
      <c r="B6" t="inlineStr">
        <is>
          <t>Feels</t>
        </is>
      </c>
      <c r="C6" t="inlineStr">
        <is>
          <t>Latvia</t>
        </is>
      </c>
      <c r="D6" t="inlineStr">
        <is>
          <t>November 4th, 2022</t>
        </is>
      </c>
      <c r="E6" t="inlineStr">
        <is>
          <t>04.11.2022</t>
        </is>
      </c>
      <c r="F6" s="3" t="n">
        <v>5063212439827</v>
      </c>
      <c r="G6" t="inlineStr">
        <is>
          <t xml:space="preserve">GX8KD2236164
</t>
        </is>
      </c>
      <c r="H6" s="7" t="inlineStr">
        <is>
          <t>Indie/Chill Dance</t>
        </is>
      </c>
      <c r="I6" t="inlineStr">
        <is>
          <t>2</t>
        </is>
      </c>
      <c r="J6" t="inlineStr">
        <is>
          <t>22</t>
        </is>
      </c>
      <c r="K6" t="inlineStr">
        <is>
          <t>https://soundcloud.com/daydoseofhouse/cubfonic-feels/s-Vicx2XFaDAc?si=8d630249586a462dae158070d808ae86&amp;utm_source=clipboard&amp;utm_medium=text&amp;utm_campaign=social_sharing</t>
        </is>
      </c>
      <c r="L6" t="inlineStr">
        <is>
          <t>Day Dose Of House</t>
        </is>
      </c>
      <c r="M6" t="n">
        <v>1</v>
      </c>
      <c r="N6" t="inlineStr">
        <is>
          <t>Radio/Extended</t>
        </is>
      </c>
      <c r="O6">
        <f>IF(N6="Remix","Citas:Remix",IF(N6="Cover","Citas:Cover",IF(N6="Radio","Single",IF(N6="Radio/Extended","Single",""))))</f>
        <v/>
      </c>
      <c r="P6">
        <f>IF(M6=1,"High_Priority",IF(M6=2,"Priority",IF(M6=3,"General_Release",IF(M6=4,"General_Release",IF(M6="","")))))</f>
        <v/>
      </c>
      <c r="Q6">
        <f>IF(N6="Remix","Citas:Remix",IF(N6="Cover","Citas:Cover",IF(N6="Radio","Single",IF(N6="Radio/Extended","Single",""))))</f>
        <v/>
      </c>
      <c r="R6">
        <f t="array" ref="R6">IF(SUM(COUNTIF(H6,{"*Deep*";"*Bass*";"*Slap*"})),"Citas:Deep House",IF(SUM(COUNTIF(H6,{"*Lo-Fi*"})),"Citas:Lo-Fi",IF(SUM(COUNTIF(H6,{"*Tech*"})),"Citas:Tech House",IF(SUM(COUNTIF(H6,{"*Indie/Chill Dance*"})),"Citas:Indie/Chill Dance",IF(SUM(COUNTIF(H6,{"*Piano*"})),"Citas:Piano House",IF(SUM(COUNTIF(H6,{"*EDM*"})),"edm dance",IF(H6="","","")))))))</f>
        <v/>
      </c>
      <c r="S6">
        <f t="array" ref="S6">IF(SUM(COUNTIF(H6,{"*Deep*";"*Bass*";"*Slap*"})),"energetic",IF(SUM(COUNTIF(H6,{"*Lo-Fi*"})),"calm",IF(SUM(COUNTIF(H6,{"*Tech*"})),"energetic",IF(SUM(COUNTIF(H6,{"*Indie/Chill Dance*"})),"chillout",IF(SUM(COUNTIF(H6,{"*Piano*"})),"energetic",IF(SUM(COUNTIF(H6,{"*EDM*"})),"energetic",IF(H6="","","")))))))</f>
        <v/>
      </c>
      <c r="T6">
        <f t="array" ref="T6">IF(SUM(COUNTIF(H6,{"*Tech*";"*EDM*";"*Indie*";"*Deep*";"*Piano*";"*Slap*";"*Brazilian Bass*"})),"Song would perfectly fit in any dance mood playlist! Label will invest up to 5000 EUR advertising on facebook and instagram ads aswell as promoting it over label and label partners playlists, radio stations and press.",IF(SUM(COUNTIF(H6,{"*Lo-Fi*"})),"Song would perfectly fit in any Lo-Fi mood playlist! Label will invest up to 5000 EUR advertising on facebook and instagram ads aswell as promoting it over label and label partners playlists, radio stations and press.",IF(H6="","","")))</f>
        <v/>
      </c>
      <c r="U6">
        <f>IF(N6="Cover","SGL",IF(N6="Radio","SGL",IF(N6="Remix","RMX",IF(N6="","","SGL"))))</f>
        <v/>
      </c>
      <c r="V6">
        <f>IF(L6="Floating Blue Records","Instrumental only",IF(L6="Day Dose Of House","Electronic, Dance, Deep House",""))</f>
        <v/>
      </c>
      <c r="X6">
        <f t="array" aca="1" ref="X6" ca="1">+IF(H6="LO-FI","",IFERROR(INDEX(INDIRECT((_xlfn.XLOOKUP(H6,map_location[Genre],map_location[location]))),RANK(INDIRECT((_xlfn.XLOOKUP(H6,map_location[Genre],map_location[min])),FALSE),INDIRECT((_xlfn.XLOOKUP(H6,map_location[Genre],map_location[rand]))),1)),""))</f>
        <v/>
      </c>
      <c r="Y6">
        <f t="array" ref="Y6">IF(SUM(COUNTIF(H6,{"*Deep*";"*Bass*";"*Slap*"})),"**Deep House**House**Dance**",IF(SUM(COUNTIF(H6,{"*Lo-Fi*"})),"**Lo-Fi Pop**Lo-Fi Beats**Lo-Fi**",IF(SUM(COUNTIF(H6,{"*Tech*"})),"**Deep House**Tech House**Dance**",IF(SUM(COUNTIF(H6,{"*Indie/Chill Dance*"})),"**Indie Dance**Indie Electronic**Dance Pop**",IF(SUM(COUNTIF(H6,{"*Piano*"})),"**House**Electro house**Melodic House**",IF(SUM(COUNTIF(H6,{"*EDM*"})),"**EDM**Electro house**Dance Pop**",IF(H6="","","")))))))</f>
        <v/>
      </c>
      <c r="Z6">
        <f t="array" ref="Z6">IF(SUM(COUNTIF(H6,{"*Deep*";"*Bass*";"*Slap*"})),"Energetic,Happy",IF(SUM(COUNTIF(H6,{"*Lo-Fi*"})),"Romantic,Chill",IF(SUM(COUNTIF(H6,{"*Tech*"})),"Energetic,Happy",IF(SUM(COUNTIF(H6,{"*Indie/Chill Dance*"})),"Energetic,Chill",IF(SUM(COUNTIF(H6,{"*Piano*"})),"Energetic,Happy",IF(SUM(COUNTIF(H6,{"*EDM*"})),"Energetic,Happy",IF(H6="","","")))))))</f>
        <v/>
      </c>
      <c r="AA6">
        <f t="array" ref="AA6">IF(SUM(COUNTIF(H6,{"*Deep*";"*Bass*";"*Slap*"})),"None of these",IF(SUM(COUNTIF(H6,{"*Lo-Fi*"})),"Holiday,Beats",IF(SUM(COUNTIF(H6,{"*Tech*"})),"None of these",IF(SUM(COUNTIF(H6,{"*Indie/Chill Dance*"})),"None of these",IF(SUM(COUNTIF(H6,{"*Piano*"})),"None of these",IF(SUM(COUNTIF(H6,{"*EDM*"})),"None of these",IF(H6="","","")))))))</f>
        <v/>
      </c>
      <c r="AB6">
        <f t="array" ref="AB6">IF(SUM(COUNTIF(H6,{"*Deep*";"*Bass*";"*Slap*"})),"Samples,Synthesizer,Bass Guitar,Piano,Drum Kit,Electric Guitar",IF(SUM(COUNTIF(H6,{"*Lo-Fi*"})),"Samples,Synthesizer,Bass Guitar,Piano,Drum Kit,Electric Guitar",IF(SUM(COUNTIF(H6,{"*Tech*"})),"Samples,Synthesizer,Bass Guitar,Piano,Drum Kit,Electric Guitar",IF(SUM(COUNTIF(H6,{"*Indie/Chill Dance*"})),"Samples,Synthesizer,Bass Guitar,Piano,Drum Kit,Electric Guitar",IF(SUM(COUNTIF(H6,{"*Piano*"})),"Samples,Synthesizer,Bass Guitar,Piano,Drum Kit,Electric Guitar",IF(SUM(COUNTIF(H6,{"*EDM*"})),"Samples,Synthesizer,Bass Guitar,Piano,Drum Kit,Electric Guitar",IF(H6="","","")))))))</f>
        <v/>
      </c>
      <c r="AC6">
        <f t="array" ref="AC6">IF(N6="Cover","Yes",IF(SUM(COUNTIF(N6,{"*Radio/Extended*";"*Radio*";"*Remix*"})),"No",""))</f>
        <v/>
      </c>
      <c r="AD6">
        <f t="array" ref="AD6">IF(N6="Remix","Yes",IF(SUM(COUNTIF(N6,{"*Radio/Extended*";"*Radio*";"*Cover*"})),"No",""))</f>
        <v/>
      </c>
      <c r="AE6">
        <f>IF(ISTEXT(A6),"**English**","")</f>
        <v/>
      </c>
      <c r="AF6">
        <f t="array" aca="1" ref="AF6" ca="1">+TRIM(SUBSTITUTE(SUBSTITUTE(SUBSTITUTE(SUBSTITUTE(IFERROR(AO6&amp;" "&amp;+_xlfn.XLOOKUP(((SUM(LEN(AN6))-SUM(LEN(SUBSTITUTE(AN6,",",""))))/LEN(",")+1)&amp;H6,AV:AV&amp;AW:AW,AY:AY)&amp;CHAR(34)&amp;B6&amp;CHAR(34)&amp;"!"&amp;_xlfn.XLOOKUP(H6,text_list[Genre],text_list[Type based on genre]&amp;text_list[Label]),""),"Second",AP6),"Third",AQ6),"Forth",AR6),"Fifth",AS6&amp;" "))</f>
        <v/>
      </c>
      <c r="AG6">
        <f t="array" ref="AG6">IF(SUM(COUNTIF(H6,{"*Deep*";"*Bass*";"*Slap*"})),"**Deep House**Progressive House**House**",IF(SUM(COUNTIF(H6,{"*Lo-Fi*"})),"**Lo-Fi Hip Hop**Indie &amp; Lo Fi**Lounge**",IF(SUM(COUNTIF(H6,{"*Tech*"})),"**Tech House**Techno**Future House**",IF(SUM(COUNTIF(H6,{"*Indie/Chill Dance*"})),"**Chill Electronic**Indie Dance**Ambient**",IF(SUM(COUNTIF(H6,{"*Piano*"})),"**Progressive House**House**Dance Pop**",IF(SUM(COUNTIF(H6,{"*EDM*"})),"**Progressive House**House**EDM**",IF(H6="","","")))))))</f>
        <v/>
      </c>
      <c r="AH6">
        <f>IF(N6="Remix","Remix",IF(N6="Cover","Cover",IF(N6="Radio","Original",IF(N6="Radio/Extended","Original",""))))</f>
        <v/>
      </c>
      <c r="AI6">
        <f t="array" ref="AI6">IF(SUM(COUNTIF(H6,{"*Deep*";"*Bass*";"*Slap*"})),"**Tiësto**Imanbek**",IF(SUM(COUNTIF(H6,{"*Lo-Fi*"})),"**L.Dre**Yasumu**",IF(SUM(COUNTIF(H6,{"*Tech*"})),"**Mau P**Gorgon City**",IF(SUM(COUNTIF(H6,{"*Indie/Chill Dance*"})),"**Felix Jaehn**Lost Frequencies**",IF(SUM(COUNTIF(H6,{"*Piano*"})),"**Avicii**Eric Prydz**",IF(SUM(COUNTIF(H6,{"*EDM*"})),"**David Guetta**Swedish House Mafia**",IF(H6="","","")))))))</f>
        <v/>
      </c>
      <c r="AJ6">
        <f t="array" aca="1" ref="AJ6" ca="1">+IFERROR(INDEX(INDIRECT((_xlfn.XLOOKUP(H6,map_country[Genre],map_country[country]))),RANK(INDIRECT((_xlfn.XLOOKUP(H6,map_country[Genre],map_country[min])),FALSE),INDIRECT((_xlfn.XLOOKUP(H6,map_country[Genre],map_country[rand]))),1)),"")</f>
        <v/>
      </c>
      <c r="AK6">
        <f t="array" ref="AK6">IF(SUM(COUNTIF(H6,{"*Deep*";"*Bass*";"*Slap*"})),"Cool,Upbeat,Dark",IF(SUM(COUNTIF(H6,{"*Lo-Fi*"})),"Sexy,Relaxing,Romantic",IF(SUM(COUNTIF(H6,{"*Tech*"})),"Cool,Upbeat,Dark",IF(SUM(COUNTIF(H6,{"*Indie/Chill Dance*"})),"Cool,Upbeat,Light",IF(SUM(COUNTIF(H6,{"*Piano*"})),"Cool,Upbeat,Light",IF(SUM(COUNTIF(H6,{"*EDM*"})),"Cool,Upbeat,Happy Mood",IF(H6="","","")))))))</f>
        <v/>
      </c>
      <c r="AL6">
        <f t="array" ref="AL6">IF(SUM(COUNTIF(H6,{"*Deep*";"*Bass*";"*Slap*"})),"Hard &amp; Heavy,Chilling Out &amp; Lounging,Happy &amp; Upbeat",IF(SUM(COUNTIF(H6,{"*Lo-Fi*"})),"Work, Study &amp; Reading,Chilling Out &amp; Lounging,Relaxed &amp; Laid Back",IF(SUM(COUNTIF(H6,{"*Tech*"})),"Hard &amp; Heavy,Chilling Out &amp; Lounging,Happy &amp; Upbeat",IF(SUM(COUNTIF(H6,{"*Indie/Chill Dance*"})),"Hard &amp; Heavy,Chilling Out &amp; Lounging,Happy &amp; Upbeat",IF(SUM(COUNTIF(H6,{"*Piano*"})),"Hard &amp; Heavy,Chilling Out &amp; Lounging,Happy &amp; Upbeat",IF(SUM(COUNTIF(H6,{"*EDM*"})),"Hard &amp; Heavy,Chilling Out &amp; Lounging,Happy &amp; Upbeat",IF(H6="","","")))))))</f>
        <v/>
      </c>
      <c r="AN6" s="20">
        <f>TRIM(SUBSTITUTE(SUBSTITUTE(SUBSTITUTE(A7,"&amp;",","),"feat",","),".",""))</f>
        <v/>
      </c>
      <c r="AO6" s="20">
        <f>IFERROR(_xlfn.TEXTBEFORE(AN6,","),AN6)</f>
        <v/>
      </c>
      <c r="AP6" s="20">
        <f>IFERROR(TRIM(SUBSTITUTE(SUBSTITUTE(SUBSTITUTE(SUBSTITUTE(_xlfn.TEXTAFTER(AN6,",",1),AQ6,""),AR6,""),AS6,""),",","")),"")</f>
        <v/>
      </c>
      <c r="AQ6" s="20">
        <f>IFERROR(SUBSTITUTE(SUBSTITUTE(SUBSTITUTE(_xlfn.TEXTAFTER(AN6,",",2),AR6,""),",",""),AS6,""),"")</f>
        <v/>
      </c>
      <c r="AR6" s="20">
        <f>IFERROR(SUBSTITUTE(SUBSTITUTE(_xlfn.TEXTAFTER(AN6,",",3),AS6,""),",",""),"")</f>
        <v/>
      </c>
      <c r="AS6" s="20">
        <f>IFERROR(_xlfn.TEXTAFTER(AN6,",",4),"")</f>
        <v/>
      </c>
      <c r="AV6" s="11" t="n">
        <v>5</v>
      </c>
      <c r="AW6" s="8" t="inlineStr">
        <is>
          <t>Deep House</t>
        </is>
      </c>
      <c r="AX6" s="12" t="inlineStr">
        <is>
          <t>teamed up with Second, Third, Forth, and Fifth to deliver this energetic tune called ''''! Song would perfectly fit in any dance mood playlist! Label will invest up to 5000 EUR advertising on facebook and instagram ads aswell as promoting it over label and label partners playlists, radio stations and press.</t>
        </is>
      </c>
      <c r="AY6">
        <f>+_xlfn.TEXTBEFORE(text_list[[#This Row],[Text]],"''''!",,0)</f>
        <v/>
      </c>
      <c r="AZ6">
        <f>+_xlfn.TEXTBEFORE(_xlfn.TEXTAFTER(text_list[[#This Row],[Text]],"'''!"),"Label")</f>
        <v/>
      </c>
      <c r="BA6">
        <f>+_xlfn.TEXTAFTER(text_list[[#This Row],[Text]],text_list[[#This Row],[Type based on genre]])</f>
        <v/>
      </c>
      <c r="BB6" t="inlineStr">
        <is>
          <t xml:space="preserve"> </t>
        </is>
      </c>
      <c r="BN6" s="4" t="inlineStr">
        <is>
          <t>Brussels, Brussels Capital, Belgium</t>
        </is>
      </c>
      <c r="BO6" s="5" t="inlineStr">
        <is>
          <t>Piano House</t>
        </is>
      </c>
      <c r="BP6" s="5">
        <f>+RAND()</f>
        <v/>
      </c>
    </row>
    <row r="7">
      <c r="A7" t="inlineStr">
        <is>
          <t>Franko Keys, Lofi Hendrick, Fifty Gram</t>
        </is>
      </c>
      <c r="B7" t="inlineStr">
        <is>
          <t>Last Airbender</t>
        </is>
      </c>
      <c r="D7" t="inlineStr">
        <is>
          <t>May 6th, 2022</t>
        </is>
      </c>
      <c r="E7" t="inlineStr">
        <is>
          <t>06.05.2022</t>
        </is>
      </c>
      <c r="F7" s="3" t="n">
        <v>5063010252956</v>
      </c>
      <c r="G7" t="inlineStr">
        <is>
          <t xml:space="preserve">GX4R52240573
</t>
        </is>
      </c>
      <c r="H7" s="7" t="n"/>
      <c r="I7" t="inlineStr">
        <is>
          <t>2</t>
        </is>
      </c>
      <c r="J7" t="inlineStr">
        <is>
          <t>26</t>
        </is>
      </c>
      <c r="K7" t="inlineStr">
        <is>
          <t>https://soundcloud.com/floatingbluerecords/franko-keys-lofi-hendrick-fifty-gram-last-airbender/s-91fI3fmUVrH?si=c44ca3885fd6476fb4236e0e42300413&amp;utm_source=clipboard&amp;utm_medium=text&amp;utm_campaign=social_sharing</t>
        </is>
      </c>
      <c r="L7" t="inlineStr">
        <is>
          <t>Floating Blue Records</t>
        </is>
      </c>
      <c r="O7">
        <f>IF(N7="Remix","Citas:Remix",IF(N7="Cover","Citas:Cover",IF(N7="Radio","Single",IF(N7="Radio/Extended","Single",""))))</f>
        <v/>
      </c>
      <c r="P7">
        <f>IF(M7=1,"High_Priority",IF(M7=2,"Priority",IF(M7=3,"General_Release",IF(M7=4,"General_Release",IF(M7="","")))))</f>
        <v/>
      </c>
      <c r="Q7">
        <f>IF(N7="Remix","Citas:Remix",IF(N7="Cover","Citas:Cover",IF(N7="Radio","Single",IF(N7="Radio/Extended","Single",""))))</f>
        <v/>
      </c>
      <c r="R7">
        <f t="array" ref="R7">IF(SUM(COUNTIF(H7,{"*Deep*";"*Bass*";"*Slap*"})),"Citas:Deep House",IF(SUM(COUNTIF(H7,{"*Lo-Fi*"})),"Citas:Lo-Fi",IF(SUM(COUNTIF(H7,{"*Tech*"})),"Citas:Tech House",IF(SUM(COUNTIF(H7,{"*Indie/Chill Dance*"})),"Citas:Indie/Chill Dance",IF(SUM(COUNTIF(H7,{"*Piano*"})),"Citas:Piano House",IF(SUM(COUNTIF(H7,{"*EDM*"})),"edm dance",IF(H7="","","")))))))</f>
        <v/>
      </c>
      <c r="S7">
        <f t="array" ref="S7">IF(SUM(COUNTIF(H7,{"*Deep*";"*Bass*";"*Slap*"})),"energetic",IF(SUM(COUNTIF(H7,{"*Lo-Fi*"})),"calm",IF(SUM(COUNTIF(H7,{"*Tech*"})),"energetic",IF(SUM(COUNTIF(H7,{"*Indie/Chill Dance*"})),"chillout",IF(SUM(COUNTIF(H7,{"*Piano*"})),"energetic",IF(SUM(COUNTIF(H7,{"*EDM*"})),"energetic",IF(H7="","","")))))))</f>
        <v/>
      </c>
      <c r="T7">
        <f t="array" ref="T7">IF(SUM(COUNTIF(H7,{"*Tech*";"*EDM*";"*Indie*";"*Deep*";"*Piano*";"*Slap*";"*Brazilian Bass*"})),"Song would perfectly fit in any dance mood playlist! Label will invest up to 5000 EUR advertising on facebook and instagram ads aswell as promoting it over label and label partners playlists, radio stations and press.",IF(SUM(COUNTIF(H7,{"*Lo-Fi*"})),"Song would perfectly fit in any Lo-Fi mood playlist! Label will invest up to 5000 EUR advertising on facebook and instagram ads aswell as promoting it over label and label partners playlists, radio stations and press.",IF(H7="","","")))</f>
        <v/>
      </c>
      <c r="U7">
        <f>IF(N7="Cover","SGL",IF(N7="Radio","SGL",IF(N7="Remix","RMX",IF(N7="","","SGL"))))</f>
        <v/>
      </c>
      <c r="V7">
        <f>IF(L7="Floating Blue Records","Instrumental only",IF(L7="Day Dose Of House","Electronic, Dance, Deep House",""))</f>
        <v/>
      </c>
      <c r="X7">
        <f t="array" aca="1" ref="X7" ca="1">+IF(H7="LO-FI","",IFERROR(INDEX(INDIRECT((_xlfn.XLOOKUP(H7,map_location[Genre],map_location[location]))),RANK(INDIRECT((_xlfn.XLOOKUP(H7,map_location[Genre],map_location[min])),FALSE),INDIRECT((_xlfn.XLOOKUP(H7,map_location[Genre],map_location[rand]))),1)),""))</f>
        <v/>
      </c>
      <c r="Y7">
        <f t="array" ref="Y7">IF(SUM(COUNTIF(H7,{"*Deep*";"*Bass*";"*Slap*"})),"**Deep House**House**Dance**",IF(SUM(COUNTIF(H7,{"*Lo-Fi*"})),"**Lo-Fi Pop**Lo-Fi Beats**Lo-Fi**",IF(SUM(COUNTIF(H7,{"*Tech*"})),"**Deep House**Tech House**Dance**",IF(SUM(COUNTIF(H7,{"*Indie/Chill Dance*"})),"**Indie Dance**Indie Electronic**Dance Pop**",IF(SUM(COUNTIF(H7,{"*Piano*"})),"**House**Electro house**Melodic House**",IF(SUM(COUNTIF(H7,{"*EDM*"})),"**EDM**Electro house**Dance Pop**",IF(H7="","","")))))))</f>
        <v/>
      </c>
      <c r="Z7">
        <f t="array" ref="Z7">IF(SUM(COUNTIF(H7,{"*Deep*";"*Bass*";"*Slap*"})),"Energetic,Happy",IF(SUM(COUNTIF(H7,{"*Lo-Fi*"})),"Romantic,Chill",IF(SUM(COUNTIF(H7,{"*Tech*"})),"Energetic,Happy",IF(SUM(COUNTIF(H7,{"*Indie/Chill Dance*"})),"Energetic,Chill",IF(SUM(COUNTIF(H7,{"*Piano*"})),"Energetic,Happy",IF(SUM(COUNTIF(H7,{"*EDM*"})),"Energetic,Happy",IF(H7="","","")))))))</f>
        <v/>
      </c>
      <c r="AA7">
        <f t="array" ref="AA7">IF(SUM(COUNTIF(H7,{"*Deep*";"*Bass*";"*Slap*"})),"None of these",IF(SUM(COUNTIF(H7,{"*Lo-Fi*"})),"Holiday,Beats",IF(SUM(COUNTIF(H7,{"*Tech*"})),"None of these",IF(SUM(COUNTIF(H7,{"*Indie/Chill Dance*"})),"None of these",IF(SUM(COUNTIF(H7,{"*Piano*"})),"None of these",IF(SUM(COUNTIF(H7,{"*EDM*"})),"None of these",IF(H7="","","")))))))</f>
        <v/>
      </c>
      <c r="AB7">
        <f t="array" ref="AB7">IF(SUM(COUNTIF(H7,{"*Deep*";"*Bass*";"*Slap*"})),"Samples,Synthesizer,Bass Guitar,Piano,Drum Kit,Electric Guitar",IF(SUM(COUNTIF(H7,{"*Lo-Fi*"})),"Samples,Synthesizer,Bass Guitar,Piano,Drum Kit,Electric Guitar",IF(SUM(COUNTIF(H7,{"*Tech*"})),"Samples,Synthesizer,Bass Guitar,Piano,Drum Kit,Electric Guitar",IF(SUM(COUNTIF(H7,{"*Indie/Chill Dance*"})),"Samples,Synthesizer,Bass Guitar,Piano,Drum Kit,Electric Guitar",IF(SUM(COUNTIF(H7,{"*Piano*"})),"Samples,Synthesizer,Bass Guitar,Piano,Drum Kit,Electric Guitar",IF(SUM(COUNTIF(H7,{"*EDM*"})),"Samples,Synthesizer,Bass Guitar,Piano,Drum Kit,Electric Guitar",IF(H7="","","")))))))</f>
        <v/>
      </c>
      <c r="AC7">
        <f t="array" ref="AC7">IF(N7="Cover","Yes",IF(SUM(COUNTIF(N7,{"*Radio/Extended*";"*Radio*";"*Remix*"})),"No",""))</f>
        <v/>
      </c>
      <c r="AD7">
        <f t="array" ref="AD7">IF(N7="Remix","Yes",IF(SUM(COUNTIF(N7,{"*Radio/Extended*";"*Radio*";"*Cover*"})),"No",""))</f>
        <v/>
      </c>
      <c r="AE7">
        <f>IF(ISTEXT(A7),"**English**","")</f>
        <v/>
      </c>
      <c r="AF7">
        <f t="array" aca="1" ref="AF7" ca="1">+TRIM(SUBSTITUTE(SUBSTITUTE(SUBSTITUTE(SUBSTITUTE(IFERROR(AO7&amp;" "&amp;+_xlfn.XLOOKUP(((SUM(LEN(AN7))-SUM(LEN(SUBSTITUTE(AN7,",",""))))/LEN(",")+1)&amp;H7,AV:AV&amp;AW:AW,AY:AY)&amp;CHAR(34)&amp;B7&amp;CHAR(34)&amp;"!"&amp;_xlfn.XLOOKUP(H7,text_list[Genre],text_list[Type based on genre]&amp;text_list[Label]),""),"Second",AP7),"Third",AQ7),"Forth",AR7),"Fifth",AS7&amp;" "))</f>
        <v/>
      </c>
      <c r="AH7">
        <f>IF(N7="Remix","Remix",IF(N7="Cover","Cover",IF(N7="Radio","Original",IF(N7="Radio/Extended","Original",""))))</f>
        <v/>
      </c>
      <c r="AI7">
        <f t="array" ref="AI7">IF(SUM(COUNTIF(H7,{"*Deep*";"*Bass*";"*Slap*"})),"**Tiësto**Imanbek**",IF(SUM(COUNTIF(H7,{"*Lo-Fi*"})),"**L.Dre**Yasumu**",IF(SUM(COUNTIF(H7,{"*Tech*"})),"**Mau P**Gorgon City**",IF(SUM(COUNTIF(H7,{"*Indie/Chill Dance*"})),"**Felix Jaehn**Lost Frequencies**",IF(SUM(COUNTIF(H7,{"*Piano*"})),"**Avicii**Eric Prydz**",IF(SUM(COUNTIF(H7,{"*EDM*"})),"**David Guetta**Swedish House Mafia**",IF(H7="","","")))))))</f>
        <v/>
      </c>
      <c r="AJ7">
        <f t="array" aca="1" ref="AJ7" ca="1">+IFERROR(INDEX(INDIRECT((_xlfn.XLOOKUP(H7,map_country[Genre],map_country[country]))),RANK(INDIRECT((_xlfn.XLOOKUP(H7,map_country[Genre],map_country[min])),FALSE),INDIRECT((_xlfn.XLOOKUP(H7,map_country[Genre],map_country[rand]))),1)),"")</f>
        <v/>
      </c>
      <c r="AK7">
        <f t="array" ref="AK7">IF(SUM(COUNTIF(H7,{"*Deep*";"*Bass*";"*Slap*"})),"Cool,Upbeat,Dark",IF(SUM(COUNTIF(H7,{"*Lo-Fi*"})),"Sexy,Relaxing,Romantic",IF(SUM(COUNTIF(H7,{"*Tech*"})),"Cool,Upbeat,Dark",IF(SUM(COUNTIF(H7,{"*Indie/Chill Dance*"})),"Cool,Upbeat,Light",IF(SUM(COUNTIF(H7,{"*Piano*"})),"Cool,Upbeat,Light",IF(SUM(COUNTIF(H7,{"*EDM*"})),"Cool,Upbeat,Happy Mood",IF(H7="","","")))))))</f>
        <v/>
      </c>
      <c r="AL7">
        <f t="array" ref="AL7">IF(SUM(COUNTIF(H7,{"*Deep*";"*Bass*";"*Slap*"})),"Hard &amp; Heavy,Chilling Out &amp; Lounging,Happy &amp; Upbeat",IF(SUM(COUNTIF(H7,{"*Lo-Fi*"})),"Work, Study &amp; Reading,Chilling Out &amp; Lounging,Relaxed &amp; Laid Back",IF(SUM(COUNTIF(H7,{"*Tech*"})),"Hard &amp; Heavy,Chilling Out &amp; Lounging,Happy &amp; Upbeat",IF(SUM(COUNTIF(H7,{"*Indie/Chill Dance*"})),"Hard &amp; Heavy,Chilling Out &amp; Lounging,Happy &amp; Upbeat",IF(SUM(COUNTIF(H7,{"*Piano*"})),"Hard &amp; Heavy,Chilling Out &amp; Lounging,Happy &amp; Upbeat",IF(SUM(COUNTIF(H7,{"*EDM*"})),"Hard &amp; Heavy,Chilling Out &amp; Lounging,Happy &amp; Upbeat",IF(H7="","","")))))))</f>
        <v/>
      </c>
      <c r="AN7" s="20">
        <f>TRIM(SUBSTITUTE(SUBSTITUTE(SUBSTITUTE(A8,"&amp;",","),"feat",","),".",""))</f>
        <v/>
      </c>
      <c r="AO7" s="20">
        <f>IFERROR(_xlfn.TEXTBEFORE(AN7,","),AN7)</f>
        <v/>
      </c>
      <c r="AP7" s="20">
        <f>IFERROR(TRIM(SUBSTITUTE(SUBSTITUTE(SUBSTITUTE(SUBSTITUTE(_xlfn.TEXTAFTER(AN7,",",1),AQ7,""),AR7,""),AS7,""),",","")),"")</f>
        <v/>
      </c>
      <c r="AQ7" s="20">
        <f>IFERROR(SUBSTITUTE(SUBSTITUTE(SUBSTITUTE(_xlfn.TEXTAFTER(AN7,",",2),AR7,""),",",""),AS7,""),"")</f>
        <v/>
      </c>
      <c r="AR7" s="20">
        <f>IFERROR(SUBSTITUTE(SUBSTITUTE(_xlfn.TEXTAFTER(AN7,",",3),AS7,""),",",""),"")</f>
        <v/>
      </c>
      <c r="AS7" s="20">
        <f>IFERROR(_xlfn.TEXTAFTER(AN7,",",4),"")</f>
        <v/>
      </c>
      <c r="AV7" s="11" t="n">
        <v>1</v>
      </c>
      <c r="AW7" s="9" t="inlineStr">
        <is>
          <t>Tech House</t>
        </is>
      </c>
      <c r="AX7"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7">
        <f>+_xlfn.TEXTBEFORE(text_list[[#This Row],[Text]],"''''!",,0)</f>
        <v/>
      </c>
      <c r="AZ7">
        <f>+_xlfn.TEXTBEFORE(_xlfn.TEXTAFTER(text_list[[#This Row],[Text]],"'''!"),"Label")</f>
        <v/>
      </c>
      <c r="BA7">
        <f>+_xlfn.TEXTAFTER(text_list[[#This Row],[Text]],text_list[[#This Row],[Type based on genre]])</f>
        <v/>
      </c>
      <c r="BB7" t="inlineStr">
        <is>
          <t xml:space="preserve"> </t>
        </is>
      </c>
    </row>
    <row r="8">
      <c r="A8" t="inlineStr">
        <is>
          <t>Jerry Of Everything, Lo</t>
        </is>
      </c>
      <c r="B8" t="inlineStr">
        <is>
          <t>Fi Music Rudolph, Floating Blue</t>
        </is>
      </c>
      <c r="D8" t="inlineStr">
        <is>
          <t>April 1st, 2022</t>
        </is>
      </c>
      <c r="E8" t="inlineStr">
        <is>
          <t>01.04.2022</t>
        </is>
      </c>
      <c r="F8" s="3" t="n">
        <v>5063010719435</v>
      </c>
      <c r="G8" t="inlineStr">
        <is>
          <t xml:space="preserve">GX3HH2278617
</t>
        </is>
      </c>
      <c r="H8" s="7" t="n"/>
      <c r="I8" t="inlineStr">
        <is>
          <t>2</t>
        </is>
      </c>
      <c r="J8" t="inlineStr">
        <is>
          <t>09</t>
        </is>
      </c>
      <c r="K8" t="inlineStr">
        <is>
          <t>https://soundcloud.com/floatingbluerecords/jerry-of-everything-lo-fi-music-rudolph-floating-blue-physics/s-mgJrfBaWPFR?si=32b87e00a8754b7aa40cdf0311d8bc72&amp;utm_source=clipboard&amp;utm_medium=text&amp;utm_campaign=social_sharing</t>
        </is>
      </c>
      <c r="L8" t="inlineStr">
        <is>
          <t>Floating Blue Records</t>
        </is>
      </c>
      <c r="O8">
        <f>IF(N8="Remix","Citas:Remix",IF(N8="Cover","Citas:Cover",IF(N8="Radio","Single",IF(N8="Radio/Extended","Single",""))))</f>
        <v/>
      </c>
      <c r="P8">
        <f>IF(M8=1,"High_Priority",IF(M8=2,"Priority",IF(M8=3,"General_Release",IF(M8=4,"General_Release",IF(M8="","")))))</f>
        <v/>
      </c>
      <c r="Q8">
        <f>IF(N8="Remix","Citas:Remix",IF(N8="Cover","Citas:Cover",IF(N8="Radio","Single",IF(N8="Radio/Extended","Single",""))))</f>
        <v/>
      </c>
      <c r="R8">
        <f t="array" ref="R8">IF(SUM(COUNTIF(H8,{"*Deep*";"*Bass*";"*Slap*"})),"Citas:Deep House",IF(SUM(COUNTIF(H8,{"*Lo-Fi*"})),"Citas:Lo-Fi",IF(SUM(COUNTIF(H8,{"*Tech*"})),"Citas:Tech House",IF(SUM(COUNTIF(H8,{"*Indie/Chill Dance*"})),"Citas:Indie/Chill Dance",IF(SUM(COUNTIF(H8,{"*Piano*"})),"Citas:Piano House",IF(SUM(COUNTIF(H8,{"*EDM*"})),"edm dance",IF(H8="","","")))))))</f>
        <v/>
      </c>
      <c r="S8">
        <f t="array" ref="S8">IF(SUM(COUNTIF(H8,{"*Deep*";"*Bass*";"*Slap*"})),"energetic",IF(SUM(COUNTIF(H8,{"*Lo-Fi*"})),"calm",IF(SUM(COUNTIF(H8,{"*Tech*"})),"energetic",IF(SUM(COUNTIF(H8,{"*Indie/Chill Dance*"})),"chillout",IF(SUM(COUNTIF(H8,{"*Piano*"})),"energetic",IF(SUM(COUNTIF(H8,{"*EDM*"})),"energetic",IF(H8="","","")))))))</f>
        <v/>
      </c>
      <c r="T8">
        <f t="array" ref="T8">IF(SUM(COUNTIF(H8,{"*Tech*";"*EDM*";"*Indie*";"*Deep*";"*Piano*";"*Slap*";"*Brazilian Bass*"})),"Song would perfectly fit in any dance mood playlist! Label will invest up to 5000 EUR advertising on facebook and instagram ads aswell as promoting it over label and label partners playlists, radio stations and press.",IF(SUM(COUNTIF(H8,{"*Lo-Fi*"})),"Song would perfectly fit in any Lo-Fi mood playlist! Label will invest up to 5000 EUR advertising on facebook and instagram ads aswell as promoting it over label and label partners playlists, radio stations and press.",IF(H8="","","")))</f>
        <v/>
      </c>
      <c r="U8">
        <f>IF(N8="Cover","SGL",IF(N8="Radio","SGL",IF(N8="Remix","RMX",IF(N8="","","SGL"))))</f>
        <v/>
      </c>
      <c r="V8">
        <f>IF(L8="Floating Blue Records","Instrumental only",IF(L8="Day Dose Of House","Electronic, Dance, Deep House",""))</f>
        <v/>
      </c>
      <c r="X8">
        <f t="array" aca="1" ref="X8" ca="1">+IF(H8="LO-FI","",IFERROR(INDEX(INDIRECT((_xlfn.XLOOKUP(H8,map_location[Genre],map_location[location]))),RANK(INDIRECT((_xlfn.XLOOKUP(H8,map_location[Genre],map_location[min])),FALSE),INDIRECT((_xlfn.XLOOKUP(H8,map_location[Genre],map_location[rand]))),1)),""))</f>
        <v/>
      </c>
      <c r="Y8">
        <f t="array" ref="Y8">IF(SUM(COUNTIF(H8,{"*Deep*";"*Bass*";"*Slap*"})),"**Deep House**House**Dance**",IF(SUM(COUNTIF(H8,{"*Lo-Fi*"})),"**Lo-Fi Pop**Lo-Fi Beats**Lo-Fi**",IF(SUM(COUNTIF(H8,{"*Tech*"})),"**Deep House**Tech House**Dance**",IF(SUM(COUNTIF(H8,{"*Indie/Chill Dance*"})),"**Indie Dance**Indie Electronic**Dance Pop**",IF(SUM(COUNTIF(H8,{"*Piano*"})),"**House**Electro house**Melodic House**",IF(SUM(COUNTIF(H8,{"*EDM*"})),"**EDM**Electro house**Dance Pop**",IF(H8="","","")))))))</f>
        <v/>
      </c>
      <c r="Z8">
        <f t="array" ref="Z8">IF(SUM(COUNTIF(H8,{"*Deep*";"*Bass*";"*Slap*"})),"Energetic,Happy",IF(SUM(COUNTIF(H8,{"*Lo-Fi*"})),"Romantic,Chill",IF(SUM(COUNTIF(H8,{"*Tech*"})),"Energetic,Happy",IF(SUM(COUNTIF(H8,{"*Indie/Chill Dance*"})),"Energetic,Chill",IF(SUM(COUNTIF(H8,{"*Piano*"})),"Energetic,Happy",IF(SUM(COUNTIF(H8,{"*EDM*"})),"Energetic,Happy",IF(H8="","","")))))))</f>
        <v/>
      </c>
      <c r="AA8">
        <f t="array" ref="AA8">IF(SUM(COUNTIF(H8,{"*Deep*";"*Bass*";"*Slap*"})),"None of these",IF(SUM(COUNTIF(H8,{"*Lo-Fi*"})),"Holiday,Beats",IF(SUM(COUNTIF(H8,{"*Tech*"})),"None of these",IF(SUM(COUNTIF(H8,{"*Indie/Chill Dance*"})),"None of these",IF(SUM(COUNTIF(H8,{"*Piano*"})),"None of these",IF(SUM(COUNTIF(H8,{"*EDM*"})),"None of these",IF(H8="","","")))))))</f>
        <v/>
      </c>
      <c r="AB8">
        <f t="array" ref="AB8">IF(SUM(COUNTIF(H8,{"*Deep*";"*Bass*";"*Slap*"})),"Samples,Synthesizer,Bass Guitar,Piano,Drum Kit,Electric Guitar",IF(SUM(COUNTIF(H8,{"*Lo-Fi*"})),"Samples,Synthesizer,Bass Guitar,Piano,Drum Kit,Electric Guitar",IF(SUM(COUNTIF(H8,{"*Tech*"})),"Samples,Synthesizer,Bass Guitar,Piano,Drum Kit,Electric Guitar",IF(SUM(COUNTIF(H8,{"*Indie/Chill Dance*"})),"Samples,Synthesizer,Bass Guitar,Piano,Drum Kit,Electric Guitar",IF(SUM(COUNTIF(H8,{"*Piano*"})),"Samples,Synthesizer,Bass Guitar,Piano,Drum Kit,Electric Guitar",IF(SUM(COUNTIF(H8,{"*EDM*"})),"Samples,Synthesizer,Bass Guitar,Piano,Drum Kit,Electric Guitar",IF(H8="","","")))))))</f>
        <v/>
      </c>
      <c r="AC8">
        <f t="array" ref="AC8">IF(N8="Cover","Yes",IF(SUM(COUNTIF(N8,{"*Radio/Extended*";"*Radio*";"*Remix*"})),"No",""))</f>
        <v/>
      </c>
      <c r="AD8">
        <f t="array" ref="AD8">IF(N8="Remix","Yes",IF(SUM(COUNTIF(N8,{"*Radio/Extended*";"*Radio*";"*Cover*"})),"No",""))</f>
        <v/>
      </c>
      <c r="AE8">
        <f>IF(ISTEXT(A8),"**English**","")</f>
        <v/>
      </c>
      <c r="AF8">
        <f t="array" aca="1" ref="AF8" ca="1">+TRIM(SUBSTITUTE(SUBSTITUTE(SUBSTITUTE(SUBSTITUTE(IFERROR(AO8&amp;" "&amp;+_xlfn.XLOOKUP(((SUM(LEN(AN8))-SUM(LEN(SUBSTITUTE(AN8,",",""))))/LEN(",")+1)&amp;H8,AV:AV&amp;AW:AW,AY:AY)&amp;CHAR(34)&amp;B8&amp;CHAR(34)&amp;"!"&amp;_xlfn.XLOOKUP(H8,text_list[Genre],text_list[Type based on genre]&amp;text_list[Label]),""),"Second",AP8),"Third",AQ8),"Forth",AR8),"Fifth",AS8&amp;" "))</f>
        <v/>
      </c>
      <c r="AH8">
        <f>IF(N8="Remix","Remix",IF(N8="Cover","Cover",IF(N8="Radio","Original",IF(N8="Radio/Extended","Original",""))))</f>
        <v/>
      </c>
      <c r="AI8">
        <f t="array" ref="AI8">IF(SUM(COUNTIF(H8,{"*Deep*";"*Bass*";"*Slap*"})),"**Tiësto**Imanbek**",IF(SUM(COUNTIF(H8,{"*Lo-Fi*"})),"**L.Dre**Yasumu**",IF(SUM(COUNTIF(H8,{"*Tech*"})),"**Mau P**Gorgon City**",IF(SUM(COUNTIF(H8,{"*Indie/Chill Dance*"})),"**Felix Jaehn**Lost Frequencies**",IF(SUM(COUNTIF(H8,{"*Piano*"})),"**Avicii**Eric Prydz**",IF(SUM(COUNTIF(H8,{"*EDM*"})),"**David Guetta**Swedish House Mafia**",IF(H8="","","")))))))</f>
        <v/>
      </c>
      <c r="AJ8">
        <f t="array" aca="1" ref="AJ8" ca="1">+IFERROR(INDEX(INDIRECT((_xlfn.XLOOKUP(H8,map_country[Genre],map_country[country]))),RANK(INDIRECT((_xlfn.XLOOKUP(H8,map_country[Genre],map_country[min])),FALSE),INDIRECT((_xlfn.XLOOKUP(H8,map_country[Genre],map_country[rand]))),1)),"")</f>
        <v/>
      </c>
      <c r="AK8">
        <f t="array" ref="AK8">IF(SUM(COUNTIF(H8,{"*Deep*";"*Bass*";"*Slap*"})),"Cool,Upbeat,Dark",IF(SUM(COUNTIF(H8,{"*Lo-Fi*"})),"Sexy,Relaxing,Romantic",IF(SUM(COUNTIF(H8,{"*Tech*"})),"Cool,Upbeat,Dark",IF(SUM(COUNTIF(H8,{"*Indie/Chill Dance*"})),"Cool,Upbeat,Light",IF(SUM(COUNTIF(H8,{"*Piano*"})),"Cool,Upbeat,Light",IF(SUM(COUNTIF(H8,{"*EDM*"})),"Cool,Upbeat,Happy Mood",IF(H8="","","")))))))</f>
        <v/>
      </c>
      <c r="AL8">
        <f t="array" ref="AL8">IF(SUM(COUNTIF(H8,{"*Deep*";"*Bass*";"*Slap*"})),"Hard &amp; Heavy,Chilling Out &amp; Lounging,Happy &amp; Upbeat",IF(SUM(COUNTIF(H8,{"*Lo-Fi*"})),"Work, Study &amp; Reading,Chilling Out &amp; Lounging,Relaxed &amp; Laid Back",IF(SUM(COUNTIF(H8,{"*Tech*"})),"Hard &amp; Heavy,Chilling Out &amp; Lounging,Happy &amp; Upbeat",IF(SUM(COUNTIF(H8,{"*Indie/Chill Dance*"})),"Hard &amp; Heavy,Chilling Out &amp; Lounging,Happy &amp; Upbeat",IF(SUM(COUNTIF(H8,{"*Piano*"})),"Hard &amp; Heavy,Chilling Out &amp; Lounging,Happy &amp; Upbeat",IF(SUM(COUNTIF(H8,{"*EDM*"})),"Hard &amp; Heavy,Chilling Out &amp; Lounging,Happy &amp; Upbeat",IF(H8="","","")))))))</f>
        <v/>
      </c>
      <c r="AN8" s="20">
        <f>TRIM(SUBSTITUTE(SUBSTITUTE(SUBSTITUTE(A9,"&amp;",","),"feat",","),".",""))</f>
        <v/>
      </c>
      <c r="AO8" s="20">
        <f>IFERROR(_xlfn.TEXTBEFORE(AN8,","),AN8)</f>
        <v/>
      </c>
      <c r="AP8" s="20">
        <f>IFERROR(TRIM(SUBSTITUTE(SUBSTITUTE(SUBSTITUTE(SUBSTITUTE(_xlfn.TEXTAFTER(AN8,",",1),AQ8,""),AR8,""),AS8,""),",","")),"")</f>
        <v/>
      </c>
      <c r="AQ8" s="20">
        <f>IFERROR(SUBSTITUTE(SUBSTITUTE(SUBSTITUTE(_xlfn.TEXTAFTER(AN8,",",2),AR8,""),",",""),AS8,""),"")</f>
        <v/>
      </c>
      <c r="AR8" s="20">
        <f>IFERROR(SUBSTITUTE(SUBSTITUTE(_xlfn.TEXTAFTER(AN8,",",3),AS8,""),",",""),"")</f>
        <v/>
      </c>
      <c r="AS8" s="20">
        <f>IFERROR(_xlfn.TEXTAFTER(AN8,",",4),"")</f>
        <v/>
      </c>
      <c r="AV8" s="11" t="n">
        <v>2</v>
      </c>
      <c r="AW8" s="9" t="inlineStr">
        <is>
          <t>Tech House</t>
        </is>
      </c>
      <c r="AX8"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8">
        <f>+_xlfn.TEXTBEFORE(text_list[[#This Row],[Text]],"''''!",,0)</f>
        <v/>
      </c>
      <c r="AZ8">
        <f>+_xlfn.TEXTBEFORE(_xlfn.TEXTAFTER(text_list[[#This Row],[Text]],"'''!"),"Label")</f>
        <v/>
      </c>
      <c r="BA8">
        <f>+_xlfn.TEXTAFTER(text_list[[#This Row],[Text]],text_list[[#This Row],[Type based on genre]])</f>
        <v/>
      </c>
      <c r="BB8" t="inlineStr">
        <is>
          <t xml:space="preserve"> </t>
        </is>
      </c>
      <c r="BH8" t="inlineStr">
        <is>
          <t>Genre</t>
        </is>
      </c>
      <c r="BI8" t="inlineStr">
        <is>
          <t>rand</t>
        </is>
      </c>
      <c r="BJ8" t="inlineStr">
        <is>
          <t>location</t>
        </is>
      </c>
      <c r="BK8" t="inlineStr">
        <is>
          <t>1* rand</t>
        </is>
      </c>
      <c r="BL8" t="inlineStr">
        <is>
          <t>min</t>
        </is>
      </c>
      <c r="BM8" t="inlineStr">
        <is>
          <t>MIN+1</t>
        </is>
      </c>
      <c r="BN8" t="inlineStr">
        <is>
          <t>MIN+2</t>
        </is>
      </c>
    </row>
    <row r="9">
      <c r="A9" t="inlineStr">
        <is>
          <t>Jerry Of Everything</t>
        </is>
      </c>
      <c r="B9" t="inlineStr">
        <is>
          <t>Physics</t>
        </is>
      </c>
      <c r="D9" t="inlineStr">
        <is>
          <t>April 1st, 2022</t>
        </is>
      </c>
      <c r="E9" t="inlineStr">
        <is>
          <t>01.04.2022</t>
        </is>
      </c>
      <c r="F9" s="3" t="n">
        <v>5063010719435</v>
      </c>
      <c r="G9" t="inlineStr">
        <is>
          <t xml:space="preserve">GX3HH2278617
</t>
        </is>
      </c>
      <c r="H9" s="7" t="n"/>
      <c r="I9" t="inlineStr">
        <is>
          <t>2</t>
        </is>
      </c>
      <c r="J9" t="inlineStr">
        <is>
          <t>09</t>
        </is>
      </c>
      <c r="K9" t="inlineStr">
        <is>
          <t>https://soundcloud.com/floatingbluerecords/jerry-of-everything-lo-fi-music-rudolph-floating-blue-physics/s-mgJrfBaWPFR?si=775748fa9cea406793f9d80512b2f8c3&amp;utm_source=clipboard&amp;utm_medium=text&amp;utm_campaign=social_sharing</t>
        </is>
      </c>
      <c r="L9" t="inlineStr">
        <is>
          <t>Floating Blue Records</t>
        </is>
      </c>
      <c r="O9">
        <f>IF(N9="Remix","Citas:Remix",IF(N9="Cover","Citas:Cover",IF(N9="Radio","Single",IF(N9="Radio/Extended","Single",""))))</f>
        <v/>
      </c>
      <c r="P9">
        <f>IF(M9=1,"High_Priority",IF(M9=2,"Priority",IF(M9=3,"General_Release",IF(M9=4,"General_Release",IF(M9="","")))))</f>
        <v/>
      </c>
      <c r="Q9">
        <f>IF(N9="Remix","Citas:Remix",IF(N9="Cover","Citas:Cover",IF(N9="Radio","Single",IF(N9="Radio/Extended","Single",""))))</f>
        <v/>
      </c>
      <c r="R9">
        <f t="array" ref="R9">IF(SUM(COUNTIF(H9,{"*Deep*";"*Bass*";"*Slap*"})),"Citas:Deep House",IF(SUM(COUNTIF(H9,{"*Lo-Fi*"})),"Citas:Lo-Fi",IF(SUM(COUNTIF(H9,{"*Tech*"})),"Citas:Tech House",IF(SUM(COUNTIF(H9,{"*Indie/Chill Dance*"})),"Citas:Indie/Chill Dance",IF(SUM(COUNTIF(H9,{"*Piano*"})),"Citas:Piano House",IF(SUM(COUNTIF(H9,{"*EDM*"})),"edm dance",IF(H9="","","")))))))</f>
        <v/>
      </c>
      <c r="S9">
        <f t="array" ref="S9">IF(SUM(COUNTIF(H9,{"*Deep*";"*Bass*";"*Slap*"})),"energetic",IF(SUM(COUNTIF(H9,{"*Lo-Fi*"})),"calm",IF(SUM(COUNTIF(H9,{"*Tech*"})),"energetic",IF(SUM(COUNTIF(H9,{"*Indie/Chill Dance*"})),"chillout",IF(SUM(COUNTIF(H9,{"*Piano*"})),"energetic",IF(SUM(COUNTIF(H9,{"*EDM*"})),"energetic",IF(H9="","","")))))))</f>
        <v/>
      </c>
      <c r="T9">
        <f t="array" ref="T9">IF(SUM(COUNTIF(H9,{"*Tech*";"*EDM*";"*Indie*";"*Deep*";"*Piano*";"*Slap*";"*Brazilian Bass*"})),"Song would perfectly fit in any dance mood playlist! Label will invest up to 5000 EUR advertising on facebook and instagram ads aswell as promoting it over label and label partners playlists, radio stations and press.",IF(SUM(COUNTIF(H9,{"*Lo-Fi*"})),"Song would perfectly fit in any Lo-Fi mood playlist! Label will invest up to 5000 EUR advertising on facebook and instagram ads aswell as promoting it over label and label partners playlists, radio stations and press.",IF(H9="","","")))</f>
        <v/>
      </c>
      <c r="U9">
        <f>IF(N9="Cover","SGL",IF(N9="Radio","SGL",IF(N9="Remix","RMX",IF(N9="","","SGL"))))</f>
        <v/>
      </c>
      <c r="V9">
        <f>IF(L9="Floating Blue Records","Instrumental only",IF(L9="Day Dose Of House","Electronic, Dance, Deep House",""))</f>
        <v/>
      </c>
      <c r="X9">
        <f t="array" aca="1" ref="X9" ca="1">+IF(H9="LO-FI","",IFERROR(INDEX(INDIRECT((_xlfn.XLOOKUP(H9,map_location[Genre],map_location[location]))),RANK(INDIRECT((_xlfn.XLOOKUP(H9,map_location[Genre],map_location[min])),FALSE),INDIRECT((_xlfn.XLOOKUP(H9,map_location[Genre],map_location[rand]))),1)),""))</f>
        <v/>
      </c>
      <c r="Y9">
        <f t="array" ref="Y9">IF(SUM(COUNTIF(H9,{"*Deep*";"*Bass*";"*Slap*"})),"**Deep House**House**Dance**",IF(SUM(COUNTIF(H9,{"*Lo-Fi*"})),"**Lo-Fi Pop**Lo-Fi Beats**Lo-Fi**",IF(SUM(COUNTIF(H9,{"*Tech*"})),"**Deep House**Tech House**Dance**",IF(SUM(COUNTIF(H9,{"*Indie/Chill Dance*"})),"**Indie Dance**Indie Electronic**Dance Pop**",IF(SUM(COUNTIF(H9,{"*Piano*"})),"**House**Electro house**Melodic House**",IF(SUM(COUNTIF(H9,{"*EDM*"})),"**EDM**Electro house**Dance Pop**",IF(H9="","","")))))))</f>
        <v/>
      </c>
      <c r="Z9">
        <f t="array" ref="Z9">IF(SUM(COUNTIF(H9,{"*Deep*";"*Bass*";"*Slap*"})),"Energetic,Happy",IF(SUM(COUNTIF(H9,{"*Lo-Fi*"})),"Romantic,Chill",IF(SUM(COUNTIF(H9,{"*Tech*"})),"Energetic,Happy",IF(SUM(COUNTIF(H9,{"*Indie/Chill Dance*"})),"Energetic,Chill",IF(SUM(COUNTIF(H9,{"*Piano*"})),"Energetic,Happy",IF(SUM(COUNTIF(H9,{"*EDM*"})),"Energetic,Happy",IF(H9="","","")))))))</f>
        <v/>
      </c>
      <c r="AA9">
        <f t="array" ref="AA9">IF(SUM(COUNTIF(H9,{"*Deep*";"*Bass*";"*Slap*"})),"None of these",IF(SUM(COUNTIF(H9,{"*Lo-Fi*"})),"Holiday,Beats",IF(SUM(COUNTIF(H9,{"*Tech*"})),"None of these",IF(SUM(COUNTIF(H9,{"*Indie/Chill Dance*"})),"None of these",IF(SUM(COUNTIF(H9,{"*Piano*"})),"None of these",IF(SUM(COUNTIF(H9,{"*EDM*"})),"None of these",IF(H9="","","")))))))</f>
        <v/>
      </c>
      <c r="AB9">
        <f t="array" ref="AB9">IF(SUM(COUNTIF(H9,{"*Deep*";"*Bass*";"*Slap*"})),"Samples,Synthesizer,Bass Guitar,Piano,Drum Kit,Electric Guitar",IF(SUM(COUNTIF(H9,{"*Lo-Fi*"})),"Samples,Synthesizer,Bass Guitar,Piano,Drum Kit,Electric Guitar",IF(SUM(COUNTIF(H9,{"*Tech*"})),"Samples,Synthesizer,Bass Guitar,Piano,Drum Kit,Electric Guitar",IF(SUM(COUNTIF(H9,{"*Indie/Chill Dance*"})),"Samples,Synthesizer,Bass Guitar,Piano,Drum Kit,Electric Guitar",IF(SUM(COUNTIF(H9,{"*Piano*"})),"Samples,Synthesizer,Bass Guitar,Piano,Drum Kit,Electric Guitar",IF(SUM(COUNTIF(H9,{"*EDM*"})),"Samples,Synthesizer,Bass Guitar,Piano,Drum Kit,Electric Guitar",IF(H9="","","")))))))</f>
        <v/>
      </c>
      <c r="AC9">
        <f t="array" ref="AC9">IF(N9="Cover","Yes",IF(SUM(COUNTIF(N9,{"*Radio/Extended*";"*Radio*";"*Remix*"})),"No",""))</f>
        <v/>
      </c>
      <c r="AD9">
        <f t="array" ref="AD9">IF(N9="Remix","Yes",IF(SUM(COUNTIF(N9,{"*Radio/Extended*";"*Radio*";"*Cover*"})),"No",""))</f>
        <v/>
      </c>
      <c r="AE9">
        <f>IF(ISTEXT(A9),"**English**","")</f>
        <v/>
      </c>
      <c r="AF9">
        <f t="array" aca="1" ref="AF9" ca="1">+TRIM(SUBSTITUTE(SUBSTITUTE(SUBSTITUTE(SUBSTITUTE(IFERROR(AO9&amp;" "&amp;+_xlfn.XLOOKUP(((SUM(LEN(AN9))-SUM(LEN(SUBSTITUTE(AN9,",",""))))/LEN(",")+1)&amp;H9,AV:AV&amp;AW:AW,AY:AY)&amp;CHAR(34)&amp;B9&amp;CHAR(34)&amp;"!"&amp;_xlfn.XLOOKUP(H9,text_list[Genre],text_list[Type based on genre]&amp;text_list[Label]),""),"Second",AP9),"Third",AQ9),"Forth",AR9),"Fifth",AS9&amp;" "))</f>
        <v/>
      </c>
      <c r="AH9">
        <f>IF(N9="Remix","Remix",IF(N9="Cover","Cover",IF(N9="Radio","Original",IF(N9="Radio/Extended","Original",""))))</f>
        <v/>
      </c>
      <c r="AI9">
        <f t="array" ref="AI9">IF(SUM(COUNTIF(H9,{"*Deep*";"*Bass*";"*Slap*"})),"**Tiësto**Imanbek**",IF(SUM(COUNTIF(H9,{"*Lo-Fi*"})),"**L.Dre**Yasumu**",IF(SUM(COUNTIF(H9,{"*Tech*"})),"**Mau P**Gorgon City**",IF(SUM(COUNTIF(H9,{"*Indie/Chill Dance*"})),"**Felix Jaehn**Lost Frequencies**",IF(SUM(COUNTIF(H9,{"*Piano*"})),"**Avicii**Eric Prydz**",IF(SUM(COUNTIF(H9,{"*EDM*"})),"**David Guetta**Swedish House Mafia**",IF(H9="","","")))))))</f>
        <v/>
      </c>
      <c r="AJ9">
        <f t="array" aca="1" ref="AJ9" ca="1">+IFERROR(INDEX(INDIRECT((_xlfn.XLOOKUP(H9,map_country[Genre],map_country[country]))),RANK(INDIRECT((_xlfn.XLOOKUP(H9,map_country[Genre],map_country[min])),FALSE),INDIRECT((_xlfn.XLOOKUP(H9,map_country[Genre],map_country[rand]))),1)),"")</f>
        <v/>
      </c>
      <c r="AK9">
        <f t="array" ref="AK9">IF(SUM(COUNTIF(H9,{"*Deep*";"*Bass*";"*Slap*"})),"Cool,Upbeat,Dark",IF(SUM(COUNTIF(H9,{"*Lo-Fi*"})),"Sexy,Relaxing,Romantic",IF(SUM(COUNTIF(H9,{"*Tech*"})),"Cool,Upbeat,Dark",IF(SUM(COUNTIF(H9,{"*Indie/Chill Dance*"})),"Cool,Upbeat,Light",IF(SUM(COUNTIF(H9,{"*Piano*"})),"Cool,Upbeat,Light",IF(SUM(COUNTIF(H9,{"*EDM*"})),"Cool,Upbeat,Happy Mood",IF(H9="","","")))))))</f>
        <v/>
      </c>
      <c r="AL9">
        <f t="array" ref="AL9">IF(SUM(COUNTIF(H9,{"*Deep*";"*Bass*";"*Slap*"})),"Hard &amp; Heavy,Chilling Out &amp; Lounging,Happy &amp; Upbeat",IF(SUM(COUNTIF(H9,{"*Lo-Fi*"})),"Work, Study &amp; Reading,Chilling Out &amp; Lounging,Relaxed &amp; Laid Back",IF(SUM(COUNTIF(H9,{"*Tech*"})),"Hard &amp; Heavy,Chilling Out &amp; Lounging,Happy &amp; Upbeat",IF(SUM(COUNTIF(H9,{"*Indie/Chill Dance*"})),"Hard &amp; Heavy,Chilling Out &amp; Lounging,Happy &amp; Upbeat",IF(SUM(COUNTIF(H9,{"*Piano*"})),"Hard &amp; Heavy,Chilling Out &amp; Lounging,Happy &amp; Upbeat",IF(SUM(COUNTIF(H9,{"*EDM*"})),"Hard &amp; Heavy,Chilling Out &amp; Lounging,Happy &amp; Upbeat",IF(H9="","","")))))))</f>
        <v/>
      </c>
      <c r="AN9" s="20">
        <f>TRIM(SUBSTITUTE(SUBSTITUTE(SUBSTITUTE(A12,"&amp;",","),"feat",","),".",""))</f>
        <v/>
      </c>
      <c r="AO9" s="20">
        <f>IFERROR(_xlfn.TEXTBEFORE(AN9,","),AN9)</f>
        <v/>
      </c>
      <c r="AP9" s="20">
        <f>IFERROR(TRIM(SUBSTITUTE(SUBSTITUTE(SUBSTITUTE(SUBSTITUTE(_xlfn.TEXTAFTER(AN9,",",1),AQ9,""),AR9,""),AS9,""),",","")),"")</f>
        <v/>
      </c>
      <c r="AQ9" s="20">
        <f>IFERROR(SUBSTITUTE(SUBSTITUTE(SUBSTITUTE(_xlfn.TEXTAFTER(AN9,",",2),AR9,""),",",""),AS9,""),"")</f>
        <v/>
      </c>
      <c r="AR9" s="20">
        <f>IFERROR(SUBSTITUTE(SUBSTITUTE(_xlfn.TEXTAFTER(AN9,",",3),AS9,""),",",""),"")</f>
        <v/>
      </c>
      <c r="AS9" s="20">
        <f>IFERROR(_xlfn.TEXTAFTER(AN9,",",4),"")</f>
        <v/>
      </c>
      <c r="AV9" s="11" t="n">
        <v>3</v>
      </c>
      <c r="AW9" s="9" t="inlineStr">
        <is>
          <t>Tech House</t>
        </is>
      </c>
      <c r="AX9"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9">
        <f>+_xlfn.TEXTBEFORE(text_list[[#This Row],[Text]],"''''!",,0)</f>
        <v/>
      </c>
      <c r="AZ9">
        <f>+_xlfn.TEXTBEFORE(_xlfn.TEXTAFTER(text_list[[#This Row],[Text]],"'''!"),"Label")</f>
        <v/>
      </c>
      <c r="BA9">
        <f>+_xlfn.TEXTAFTER(text_list[[#This Row],[Text]],text_list[[#This Row],[Type based on genre]])</f>
        <v/>
      </c>
      <c r="BB9" t="inlineStr">
        <is>
          <t xml:space="preserve"> </t>
        </is>
      </c>
      <c r="BH9" t="inlineStr">
        <is>
          <t>Deep House</t>
        </is>
      </c>
      <c r="BI9" t="inlineStr">
        <is>
          <t>deep[rand]</t>
        </is>
      </c>
      <c r="BJ9" t="inlineStr">
        <is>
          <t>deep[location]</t>
        </is>
      </c>
      <c r="BK9">
        <f>+map_location[[#This Row],[rand]]</f>
        <v/>
      </c>
      <c r="BL9">
        <f>"R"&amp;ROW(BG3)&amp;"C"&amp;COLUMN(BG3)</f>
        <v/>
      </c>
      <c r="BM9">
        <f>"R"&amp;ROW(BG4)&amp;"C"&amp;COLUMN(BG4)</f>
        <v/>
      </c>
      <c r="BN9">
        <f>"R"&amp;ROW(BG5)&amp;"C"&amp;COLUMN(BG5)</f>
        <v/>
      </c>
    </row>
    <row r="10">
      <c r="A10" t="inlineStr">
        <is>
          <t xml:space="preserve"> Lo - Fi Music Rudolph</t>
        </is>
      </c>
      <c r="B10" t="inlineStr">
        <is>
          <t>Physics</t>
        </is>
      </c>
      <c r="D10" t="inlineStr">
        <is>
          <t>April 1st, 2022</t>
        </is>
      </c>
      <c r="E10" t="inlineStr">
        <is>
          <t>01.04.2022</t>
        </is>
      </c>
      <c r="F10" s="3" t="n">
        <v>5063010719435</v>
      </c>
      <c r="G10" t="inlineStr">
        <is>
          <t xml:space="preserve">GX3HH2278617
</t>
        </is>
      </c>
      <c r="H10" s="7" t="n"/>
      <c r="I10" t="inlineStr">
        <is>
          <t>2</t>
        </is>
      </c>
      <c r="J10" t="inlineStr">
        <is>
          <t>09</t>
        </is>
      </c>
      <c r="K10" t="inlineStr">
        <is>
          <t>https://soundcloud.com/floatingbluerecords/jerry-of-everything-lo-fi-music-rudolph-floating-blue-physics/s-mgJrfBaWPFR?si=775748fa9cea406793f9d80512b2f8c3&amp;utm_source=clipboard&amp;utm_medium=text&amp;utm_campaign=social_sharing</t>
        </is>
      </c>
      <c r="L10" t="inlineStr">
        <is>
          <t>Floating Blue Records</t>
        </is>
      </c>
      <c r="O10">
        <f>IF(N10="Remix","Citas:Remix",IF(N10="Cover","Citas:Cover",IF(N10="Radio","Single",IF(N10="Radio/Extended","Single",""))))</f>
        <v/>
      </c>
      <c r="P10">
        <f>IF(M10=1,"High_Priority",IF(M10=2,"Priority",IF(M10=3,"General_Release",IF(M10=4,"General_Release",IF(M10="","")))))</f>
        <v/>
      </c>
      <c r="Q10">
        <f>IF(N10="Remix","Citas:Remix",IF(N10="Cover","Citas:Cover",IF(N10="Radio","Single",IF(N10="Radio/Extended","Single",""))))</f>
        <v/>
      </c>
      <c r="R10">
        <f t="array" ref="R10">IF(SUM(COUNTIF(H10,{"*Deep*";"*Bass*";"*Slap*"})),"Citas:Deep House",IF(SUM(COUNTIF(H10,{"*Lo-Fi*"})),"Citas:Lo-Fi",IF(SUM(COUNTIF(H10,{"*Tech*"})),"Citas:Tech House",IF(SUM(COUNTIF(H10,{"*Indie/Chill Dance*"})),"Citas:Indie/Chill Dance",IF(SUM(COUNTIF(H10,{"*Piano*"})),"Citas:Piano House",IF(SUM(COUNTIF(H10,{"*EDM*"})),"edm dance",IF(H10="","","")))))))</f>
        <v/>
      </c>
      <c r="S10">
        <f t="array" ref="S10">IF(SUM(COUNTIF(H10,{"*Deep*";"*Bass*";"*Slap*"})),"energetic",IF(SUM(COUNTIF(H10,{"*Lo-Fi*"})),"calm",IF(SUM(COUNTIF(H10,{"*Tech*"})),"energetic",IF(SUM(COUNTIF(H10,{"*Indie/Chill Dance*"})),"chillout",IF(SUM(COUNTIF(H10,{"*Piano*"})),"energetic",IF(SUM(COUNTIF(H10,{"*EDM*"})),"energetic",IF(H10="","","")))))))</f>
        <v/>
      </c>
      <c r="T10">
        <f t="array" ref="T10">IF(SUM(COUNTIF(H10,{"*Tech*";"*EDM*";"*Indie*";"*Deep*";"*Piano*";"*Slap*";"*Brazilian Bass*"})),"Song would perfectly fit in any dance mood playlist! Label will invest up to 5000 EUR advertising on facebook and instagram ads aswell as promoting it over label and label partners playlists, radio stations and press.",IF(SUM(COUNTIF(H10,{"*Lo-Fi*"})),"Song would perfectly fit in any Lo-Fi mood playlist! Label will invest up to 5000 EUR advertising on facebook and instagram ads aswell as promoting it over label and label partners playlists, radio stations and press.",IF(H10="","","")))</f>
        <v/>
      </c>
      <c r="U10">
        <f>IF(N10="Cover","SGL",IF(N10="Radio","SGL",IF(N10="Remix","RMX",IF(N10="","","SGL"))))</f>
        <v/>
      </c>
      <c r="V10">
        <f>IF(L10="Floating Blue Records","Instrumental only",IF(L10="Day Dose Of House","Electronic, Dance, Deep House",""))</f>
        <v/>
      </c>
      <c r="X10">
        <f t="array" aca="1" ref="X10" ca="1">+IF(H10="LO-FI","",IFERROR(INDEX(INDIRECT((_xlfn.XLOOKUP(H10,map_location[Genre],map_location[location]))),RANK(INDIRECT((_xlfn.XLOOKUP(H10,map_location[Genre],map_location[min])),FALSE),INDIRECT((_xlfn.XLOOKUP(H10,map_location[Genre],map_location[rand]))),1)),""))</f>
        <v/>
      </c>
      <c r="Y10">
        <f t="array" ref="Y10">IF(SUM(COUNTIF(H10,{"*Deep*";"*Bass*";"*Slap*"})),"**Deep House**House**Dance**",IF(SUM(COUNTIF(H10,{"*Lo-Fi*"})),"**Lo-Fi Pop**Lo-Fi Beats**Lo-Fi**",IF(SUM(COUNTIF(H10,{"*Tech*"})),"**Deep House**Tech House**Dance**",IF(SUM(COUNTIF(H10,{"*Indie/Chill Dance*"})),"**Indie Dance**Indie Electronic**Dance Pop**",IF(SUM(COUNTIF(H10,{"*Piano*"})),"**House**Electro house**Melodic House**",IF(SUM(COUNTIF(H10,{"*EDM*"})),"**EDM**Electro house**Dance Pop**",IF(H10="","","")))))))</f>
        <v/>
      </c>
      <c r="Z10">
        <f t="array" ref="Z10">IF(SUM(COUNTIF(H10,{"*Deep*";"*Bass*";"*Slap*"})),"Energetic,Happy",IF(SUM(COUNTIF(H10,{"*Lo-Fi*"})),"Romantic,Chill",IF(SUM(COUNTIF(H10,{"*Tech*"})),"Energetic,Happy",IF(SUM(COUNTIF(H10,{"*Indie/Chill Dance*"})),"Energetic,Chill",IF(SUM(COUNTIF(H10,{"*Piano*"})),"Energetic,Happy",IF(SUM(COUNTIF(H10,{"*EDM*"})),"Energetic,Happy",IF(H10="","","")))))))</f>
        <v/>
      </c>
      <c r="AA10">
        <f t="array" ref="AA10">IF(SUM(COUNTIF(H10,{"*Deep*";"*Bass*";"*Slap*"})),"None of these",IF(SUM(COUNTIF(H10,{"*Lo-Fi*"})),"Holiday,Beats",IF(SUM(COUNTIF(H10,{"*Tech*"})),"None of these",IF(SUM(COUNTIF(H10,{"*Indie/Chill Dance*"})),"None of these",IF(SUM(COUNTIF(H10,{"*Piano*"})),"None of these",IF(SUM(COUNTIF(H10,{"*EDM*"})),"None of these",IF(H10="","","")))))))</f>
        <v/>
      </c>
      <c r="AB10">
        <f t="array" ref="AB10">IF(SUM(COUNTIF(H10,{"*Deep*";"*Bass*";"*Slap*"})),"Samples,Synthesizer,Bass Guitar,Piano,Drum Kit,Electric Guitar",IF(SUM(COUNTIF(H10,{"*Lo-Fi*"})),"Samples,Synthesizer,Bass Guitar,Piano,Drum Kit,Electric Guitar",IF(SUM(COUNTIF(H10,{"*Tech*"})),"Samples,Synthesizer,Bass Guitar,Piano,Drum Kit,Electric Guitar",IF(SUM(COUNTIF(H10,{"*Indie/Chill Dance*"})),"Samples,Synthesizer,Bass Guitar,Piano,Drum Kit,Electric Guitar",IF(SUM(COUNTIF(H10,{"*Piano*"})),"Samples,Synthesizer,Bass Guitar,Piano,Drum Kit,Electric Guitar",IF(SUM(COUNTIF(H10,{"*EDM*"})),"Samples,Synthesizer,Bass Guitar,Piano,Drum Kit,Electric Guitar",IF(H10="","","")))))))</f>
        <v/>
      </c>
      <c r="AC10">
        <f t="array" ref="AC10">IF(N10="Cover","Yes",IF(SUM(COUNTIF(N10,{"*Radio/Extended*";"*Radio*";"*Remix*"})),"No",""))</f>
        <v/>
      </c>
      <c r="AD10">
        <f t="array" ref="AD10">IF(N10="Remix","Yes",IF(SUM(COUNTIF(N10,{"*Radio/Extended*";"*Radio*";"*Cover*"})),"No",""))</f>
        <v/>
      </c>
      <c r="AE10">
        <f>IF(ISTEXT(A10),"**English**","")</f>
        <v/>
      </c>
      <c r="AF10">
        <f t="array" aca="1" ref="AF10" ca="1">+TRIM(SUBSTITUTE(SUBSTITUTE(SUBSTITUTE(SUBSTITUTE(IFERROR(AO10&amp;" "&amp;+_xlfn.XLOOKUP(((SUM(LEN(AN10))-SUM(LEN(SUBSTITUTE(AN10,",",""))))/LEN(",")+1)&amp;H10,AV:AV&amp;AW:AW,AY:AY)&amp;CHAR(34)&amp;B10&amp;CHAR(34)&amp;"!"&amp;_xlfn.XLOOKUP(H10,text_list[Genre],text_list[Type based on genre]&amp;text_list[Label]),""),"Second",AP10),"Third",AQ10),"Forth",AR10),"Fifth",AS10&amp;" "))</f>
        <v/>
      </c>
      <c r="AH10">
        <f>IF(N10="Remix","Remix",IF(N10="Cover","Cover",IF(N10="Radio","Original",IF(N10="Radio/Extended","Original",""))))</f>
        <v/>
      </c>
      <c r="AI10">
        <f t="array" ref="AI10">IF(SUM(COUNTIF(H10,{"*Deep*";"*Bass*";"*Slap*"})),"**Tiësto**Imanbek**",IF(SUM(COUNTIF(H10,{"*Lo-Fi*"})),"**L.Dre**Yasumu**",IF(SUM(COUNTIF(H10,{"*Tech*"})),"**Mau P**Gorgon City**",IF(SUM(COUNTIF(H10,{"*Indie/Chill Dance*"})),"**Felix Jaehn**Lost Frequencies**",IF(SUM(COUNTIF(H10,{"*Piano*"})),"**Avicii**Eric Prydz**",IF(SUM(COUNTIF(H10,{"*EDM*"})),"**David Guetta**Swedish House Mafia**",IF(H10="","","")))))))</f>
        <v/>
      </c>
      <c r="AJ10">
        <f t="array" aca="1" ref="AJ10" ca="1">+IFERROR(INDEX(INDIRECT((_xlfn.XLOOKUP(H10,map_country[Genre],map_country[country]))),RANK(INDIRECT((_xlfn.XLOOKUP(H10,map_country[Genre],map_country[min])),FALSE),INDIRECT((_xlfn.XLOOKUP(H10,map_country[Genre],map_country[rand]))),1)),"")</f>
        <v/>
      </c>
      <c r="AK10">
        <f t="array" ref="AK10">IF(SUM(COUNTIF(H10,{"*Deep*";"*Bass*";"*Slap*"})),"Cool,Upbeat,Dark",IF(SUM(COUNTIF(H10,{"*Lo-Fi*"})),"Sexy,Relaxing,Romantic",IF(SUM(COUNTIF(H10,{"*Tech*"})),"Cool,Upbeat,Dark",IF(SUM(COUNTIF(H10,{"*Indie/Chill Dance*"})),"Cool,Upbeat,Light",IF(SUM(COUNTIF(H10,{"*Piano*"})),"Cool,Upbeat,Light",IF(SUM(COUNTIF(H10,{"*EDM*"})),"Cool,Upbeat,Happy Mood",IF(H10="","","")))))))</f>
        <v/>
      </c>
      <c r="AL10">
        <f t="array" ref="AL10">IF(SUM(COUNTIF(H10,{"*Deep*";"*Bass*";"*Slap*"})),"Hard &amp; Heavy,Chilling Out &amp; Lounging,Happy &amp; Upbeat",IF(SUM(COUNTIF(H10,{"*Lo-Fi*"})),"Work, Study &amp; Reading,Chilling Out &amp; Lounging,Relaxed &amp; Laid Back",IF(SUM(COUNTIF(H10,{"*Tech*"})),"Hard &amp; Heavy,Chilling Out &amp; Lounging,Happy &amp; Upbeat",IF(SUM(COUNTIF(H10,{"*Indie/Chill Dance*"})),"Hard &amp; Heavy,Chilling Out &amp; Lounging,Happy &amp; Upbeat",IF(SUM(COUNTIF(H10,{"*Piano*"})),"Hard &amp; Heavy,Chilling Out &amp; Lounging,Happy &amp; Upbeat",IF(SUM(COUNTIF(H10,{"*EDM*"})),"Hard &amp; Heavy,Chilling Out &amp; Lounging,Happy &amp; Upbeat",IF(H10="","","")))))))</f>
        <v/>
      </c>
      <c r="AN10" s="20">
        <f>TRIM(SUBSTITUTE(SUBSTITUTE(SUBSTITUTE(A13,"&amp;",","),"feat",","),".",""))</f>
        <v/>
      </c>
      <c r="AO10" s="20">
        <f>IFERROR(_xlfn.TEXTBEFORE(AN10,","),AN10)</f>
        <v/>
      </c>
      <c r="AP10" s="20">
        <f>IFERROR(TRIM(SUBSTITUTE(SUBSTITUTE(SUBSTITUTE(SUBSTITUTE(_xlfn.TEXTAFTER(AN10,",",1),AQ10,""),AR10,""),AS10,""),",","")),"")</f>
        <v/>
      </c>
      <c r="AQ10" s="20">
        <f>IFERROR(SUBSTITUTE(SUBSTITUTE(SUBSTITUTE(_xlfn.TEXTAFTER(AN10,",",2),AR10,""),",",""),AS10,""),"")</f>
        <v/>
      </c>
      <c r="AR10" s="20">
        <f>IFERROR(SUBSTITUTE(SUBSTITUTE(_xlfn.TEXTAFTER(AN10,",",3),AS10,""),",",""),"")</f>
        <v/>
      </c>
      <c r="AS10" s="20">
        <f>IFERROR(_xlfn.TEXTAFTER(AN10,",",4),"")</f>
        <v/>
      </c>
      <c r="AV10" s="11" t="n">
        <v>4</v>
      </c>
      <c r="AW10" s="9" t="inlineStr">
        <is>
          <t>Tech House</t>
        </is>
      </c>
      <c r="AX10" s="12" t="inlineStr">
        <is>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10">
        <f>+_xlfn.TEXTBEFORE(text_list[[#This Row],[Text]],"''''!",,0)</f>
        <v/>
      </c>
      <c r="AZ10">
        <f>+_xlfn.TEXTBEFORE(_xlfn.TEXTAFTER(text_list[[#This Row],[Text]],"'''!"),"Label")</f>
        <v/>
      </c>
      <c r="BA10">
        <f>+_xlfn.TEXTAFTER(text_list[[#This Row],[Text]],text_list[[#This Row],[Type based on genre]])</f>
        <v/>
      </c>
      <c r="BB10" t="inlineStr">
        <is>
          <t xml:space="preserve"> </t>
        </is>
      </c>
      <c r="BH10" t="inlineStr">
        <is>
          <t>Tech House</t>
        </is>
      </c>
      <c r="BI10" t="inlineStr">
        <is>
          <t>tech[rand]</t>
        </is>
      </c>
      <c r="BJ10" t="inlineStr">
        <is>
          <t>tech[location]</t>
        </is>
      </c>
      <c r="BK10" t="inlineStr">
        <is>
          <t>tech[@Rand]</t>
        </is>
      </c>
      <c r="BL10">
        <f>"R"&amp;ROW(BK3)&amp;"C"&amp;COLUMN(BK3)</f>
        <v/>
      </c>
      <c r="BM10">
        <f>"R"&amp;ROW(BK4)&amp;"C"&amp;COLUMN(BK4)</f>
        <v/>
      </c>
      <c r="BN10">
        <f>"R"&amp;ROW(BK5)&amp;"C"&amp;COLUMN(BK5)</f>
        <v/>
      </c>
    </row>
    <row r="11">
      <c r="A11" t="inlineStr">
        <is>
          <t xml:space="preserve"> Floating Blue</t>
        </is>
      </c>
      <c r="B11" t="inlineStr">
        <is>
          <t>Physics</t>
        </is>
      </c>
      <c r="D11" t="inlineStr">
        <is>
          <t>April 1st, 2022</t>
        </is>
      </c>
      <c r="E11" t="inlineStr">
        <is>
          <t>01.04.2022</t>
        </is>
      </c>
      <c r="F11" s="3" t="n">
        <v>5063010719435</v>
      </c>
      <c r="G11" t="inlineStr">
        <is>
          <t xml:space="preserve">GX3HH2278617
</t>
        </is>
      </c>
      <c r="H11" s="7" t="n"/>
      <c r="I11" t="inlineStr">
        <is>
          <t>2</t>
        </is>
      </c>
      <c r="J11" t="inlineStr">
        <is>
          <t>09</t>
        </is>
      </c>
      <c r="K11" t="inlineStr">
        <is>
          <t>https://soundcloud.com/floatingbluerecords/jerry-of-everything-lo-fi-music-rudolph-floating-blue-physics/s-mgJrfBaWPFR?si=775748fa9cea406793f9d80512b2f8c3&amp;utm_source=clipboard&amp;utm_medium=text&amp;utm_campaign=social_sharing</t>
        </is>
      </c>
      <c r="L11" t="inlineStr">
        <is>
          <t>Floating Blue Records</t>
        </is>
      </c>
      <c r="O11">
        <f>IF(N11="Remix","Citas:Remix",IF(N11="Cover","Citas:Cover",IF(N11="Radio","Single",IF(N11="Radio/Extended","Single",""))))</f>
        <v/>
      </c>
      <c r="P11">
        <f>IF(M11=1,"High_Priority",IF(M11=2,"Priority",IF(M11=3,"General_Release",IF(M11=4,"General_Release",IF(M11="","")))))</f>
        <v/>
      </c>
      <c r="Q11">
        <f>IF(N11="Remix","Citas:Remix",IF(N11="Cover","Citas:Cover",IF(N11="Radio","Single",IF(N11="Radio/Extended","Single",""))))</f>
        <v/>
      </c>
      <c r="R11">
        <f t="array" ref="R11">IF(SUM(COUNTIF(H11,{"*Deep*";"*Bass*";"*Slap*"})),"Citas:Deep House",IF(SUM(COUNTIF(H11,{"*Lo-Fi*"})),"Citas:Lo-Fi",IF(SUM(COUNTIF(H11,{"*Tech*"})),"Citas:Tech House",IF(SUM(COUNTIF(H11,{"*Indie/Chill Dance*"})),"Citas:Indie/Chill Dance",IF(SUM(COUNTIF(H11,{"*Piano*"})),"Citas:Piano House",IF(SUM(COUNTIF(H11,{"*EDM*"})),"edm dance",IF(H11="","","")))))))</f>
        <v/>
      </c>
      <c r="S11">
        <f t="array" ref="S11">IF(SUM(COUNTIF(H11,{"*Deep*";"*Bass*";"*Slap*"})),"energetic",IF(SUM(COUNTIF(H11,{"*Lo-Fi*"})),"calm",IF(SUM(COUNTIF(H11,{"*Tech*"})),"energetic",IF(SUM(COUNTIF(H11,{"*Indie/Chill Dance*"})),"chillout",IF(SUM(COUNTIF(H11,{"*Piano*"})),"energetic",IF(SUM(COUNTIF(H11,{"*EDM*"})),"energetic",IF(H11="","","")))))))</f>
        <v/>
      </c>
      <c r="T11">
        <f t="array" ref="T11">IF(SUM(COUNTIF(H11,{"*Tech*";"*EDM*";"*Indie*";"*Deep*";"*Piano*";"*Slap*";"*Brazilian Bass*"})),"Song would perfectly fit in any dance mood playlist! Label will invest up to 5000 EUR advertising on facebook and instagram ads aswell as promoting it over label and label partners playlists, radio stations and press.",IF(SUM(COUNTIF(H11,{"*Lo-Fi*"})),"Song would perfectly fit in any Lo-Fi mood playlist! Label will invest up to 5000 EUR advertising on facebook and instagram ads aswell as promoting it over label and label partners playlists, radio stations and press.",IF(H11="","","")))</f>
        <v/>
      </c>
      <c r="U11">
        <f>IF(N11="Cover","SGL",IF(N11="Radio","SGL",IF(N11="Remix","RMX",IF(N11="","","SGL"))))</f>
        <v/>
      </c>
      <c r="V11">
        <f>IF(L11="Floating Blue Records","Instrumental only",IF(L11="Day Dose Of House","Electronic, Dance, Deep House",""))</f>
        <v/>
      </c>
      <c r="X11">
        <f t="array" aca="1" ref="X11" ca="1">+IF(H11="LO-FI","",IFERROR(INDEX(INDIRECT((_xlfn.XLOOKUP(H11,map_location[Genre],map_location[location]))),RANK(INDIRECT((_xlfn.XLOOKUP(H11,map_location[Genre],map_location[min])),FALSE),INDIRECT((_xlfn.XLOOKUP(H11,map_location[Genre],map_location[rand]))),1)),""))</f>
        <v/>
      </c>
      <c r="Y11">
        <f t="array" ref="Y11">IF(SUM(COUNTIF(H11,{"*Deep*";"*Bass*";"*Slap*"})),"**Deep House**House**Dance**",IF(SUM(COUNTIF(H11,{"*Lo-Fi*"})),"**Lo-Fi Pop**Lo-Fi Beats**Lo-Fi**",IF(SUM(COUNTIF(H11,{"*Tech*"})),"**Deep House**Tech House**Dance**",IF(SUM(COUNTIF(H11,{"*Indie/Chill Dance*"})),"**Indie Dance**Indie Electronic**Dance Pop**",IF(SUM(COUNTIF(H11,{"*Piano*"})),"**House**Electro house**Melodic House**",IF(SUM(COUNTIF(H11,{"*EDM*"})),"**EDM**Electro house**Dance Pop**",IF(H11="","","")))))))</f>
        <v/>
      </c>
      <c r="Z11">
        <f t="array" ref="Z11">IF(SUM(COUNTIF(H11,{"*Deep*";"*Bass*";"*Slap*"})),"Energetic,Happy",IF(SUM(COUNTIF(H11,{"*Lo-Fi*"})),"Romantic,Chill",IF(SUM(COUNTIF(H11,{"*Tech*"})),"Energetic,Happy",IF(SUM(COUNTIF(H11,{"*Indie/Chill Dance*"})),"Energetic,Chill",IF(SUM(COUNTIF(H11,{"*Piano*"})),"Energetic,Happy",IF(SUM(COUNTIF(H11,{"*EDM*"})),"Energetic,Happy",IF(H11="","","")))))))</f>
        <v/>
      </c>
      <c r="AA11">
        <f t="array" ref="AA11">IF(SUM(COUNTIF(H11,{"*Deep*";"*Bass*";"*Slap*"})),"None of these",IF(SUM(COUNTIF(H11,{"*Lo-Fi*"})),"Holiday,Beats",IF(SUM(COUNTIF(H11,{"*Tech*"})),"None of these",IF(SUM(COUNTIF(H11,{"*Indie/Chill Dance*"})),"None of these",IF(SUM(COUNTIF(H11,{"*Piano*"})),"None of these",IF(SUM(COUNTIF(H11,{"*EDM*"})),"None of these",IF(H11="","","")))))))</f>
        <v/>
      </c>
      <c r="AB11">
        <f t="array" ref="AB11">IF(SUM(COUNTIF(H11,{"*Deep*";"*Bass*";"*Slap*"})),"Samples,Synthesizer,Bass Guitar,Piano,Drum Kit,Electric Guitar",IF(SUM(COUNTIF(H11,{"*Lo-Fi*"})),"Samples,Synthesizer,Bass Guitar,Piano,Drum Kit,Electric Guitar",IF(SUM(COUNTIF(H11,{"*Tech*"})),"Samples,Synthesizer,Bass Guitar,Piano,Drum Kit,Electric Guitar",IF(SUM(COUNTIF(H11,{"*Indie/Chill Dance*"})),"Samples,Synthesizer,Bass Guitar,Piano,Drum Kit,Electric Guitar",IF(SUM(COUNTIF(H11,{"*Piano*"})),"Samples,Synthesizer,Bass Guitar,Piano,Drum Kit,Electric Guitar",IF(SUM(COUNTIF(H11,{"*EDM*"})),"Samples,Synthesizer,Bass Guitar,Piano,Drum Kit,Electric Guitar",IF(H11="","","")))))))</f>
        <v/>
      </c>
      <c r="AC11">
        <f t="array" ref="AC11">IF(N11="Cover","Yes",IF(SUM(COUNTIF(N11,{"*Radio/Extended*";"*Radio*";"*Remix*"})),"No",""))</f>
        <v/>
      </c>
      <c r="AD11">
        <f t="array" ref="AD11">IF(N11="Remix","Yes",IF(SUM(COUNTIF(N11,{"*Radio/Extended*";"*Radio*";"*Cover*"})),"No",""))</f>
        <v/>
      </c>
      <c r="AE11">
        <f>IF(ISTEXT(A11),"**English**","")</f>
        <v/>
      </c>
      <c r="AF11">
        <f t="array" aca="1" ref="AF11" ca="1">+TRIM(SUBSTITUTE(SUBSTITUTE(SUBSTITUTE(SUBSTITUTE(IFERROR(AO11&amp;" "&amp;+_xlfn.XLOOKUP(((SUM(LEN(AN11))-SUM(LEN(SUBSTITUTE(AN11,",",""))))/LEN(",")+1)&amp;H11,AV:AV&amp;AW:AW,AY:AY)&amp;CHAR(34)&amp;B11&amp;CHAR(34)&amp;"!"&amp;_xlfn.XLOOKUP(H11,text_list[Genre],text_list[Type based on genre]&amp;text_list[Label]),""),"Second",AP11),"Third",AQ11),"Forth",AR11),"Fifth",AS11&amp;" "))</f>
        <v/>
      </c>
      <c r="AH11">
        <f>IF(N11="Remix","Remix",IF(N11="Cover","Cover",IF(N11="Radio","Original",IF(N11="Radio/Extended","Original",""))))</f>
        <v/>
      </c>
      <c r="AI11">
        <f t="array" ref="AI11">IF(SUM(COUNTIF(H11,{"*Deep*";"*Bass*";"*Slap*"})),"**Tiësto**Imanbek**",IF(SUM(COUNTIF(H11,{"*Lo-Fi*"})),"**L.Dre**Yasumu**",IF(SUM(COUNTIF(H11,{"*Tech*"})),"**Mau P**Gorgon City**",IF(SUM(COUNTIF(H11,{"*Indie/Chill Dance*"})),"**Felix Jaehn**Lost Frequencies**",IF(SUM(COUNTIF(H11,{"*Piano*"})),"**Avicii**Eric Prydz**",IF(SUM(COUNTIF(H11,{"*EDM*"})),"**David Guetta**Swedish House Mafia**",IF(H11="","","")))))))</f>
        <v/>
      </c>
      <c r="AJ11">
        <f t="array" aca="1" ref="AJ11" ca="1">+IFERROR(INDEX(INDIRECT((_xlfn.XLOOKUP(H11,map_country[Genre],map_country[country]))),RANK(INDIRECT((_xlfn.XLOOKUP(H11,map_country[Genre],map_country[min])),FALSE),INDIRECT((_xlfn.XLOOKUP(H11,map_country[Genre],map_country[rand]))),1)),"")</f>
        <v/>
      </c>
      <c r="AK11">
        <f t="array" ref="AK11">IF(SUM(COUNTIF(H11,{"*Deep*";"*Bass*";"*Slap*"})),"Cool,Upbeat,Dark",IF(SUM(COUNTIF(H11,{"*Lo-Fi*"})),"Sexy,Relaxing,Romantic",IF(SUM(COUNTIF(H11,{"*Tech*"})),"Cool,Upbeat,Dark",IF(SUM(COUNTIF(H11,{"*Indie/Chill Dance*"})),"Cool,Upbeat,Light",IF(SUM(COUNTIF(H11,{"*Piano*"})),"Cool,Upbeat,Light",IF(SUM(COUNTIF(H11,{"*EDM*"})),"Cool,Upbeat,Happy Mood",IF(H11="","","")))))))</f>
        <v/>
      </c>
      <c r="AL11">
        <f t="array" ref="AL11">IF(SUM(COUNTIF(H11,{"*Deep*";"*Bass*";"*Slap*"})),"Hard &amp; Heavy,Chilling Out &amp; Lounging,Happy &amp; Upbeat",IF(SUM(COUNTIF(H11,{"*Lo-Fi*"})),"Work, Study &amp; Reading,Chilling Out &amp; Lounging,Relaxed &amp; Laid Back",IF(SUM(COUNTIF(H11,{"*Tech*"})),"Hard &amp; Heavy,Chilling Out &amp; Lounging,Happy &amp; Upbeat",IF(SUM(COUNTIF(H11,{"*Indie/Chill Dance*"})),"Hard &amp; Heavy,Chilling Out &amp; Lounging,Happy &amp; Upbeat",IF(SUM(COUNTIF(H11,{"*Piano*"})),"Hard &amp; Heavy,Chilling Out &amp; Lounging,Happy &amp; Upbeat",IF(SUM(COUNTIF(H11,{"*EDM*"})),"Hard &amp; Heavy,Chilling Out &amp; Lounging,Happy &amp; Upbeat",IF(H11="","","")))))))</f>
        <v/>
      </c>
      <c r="AN11" s="20">
        <f>TRIM(SUBSTITUTE(SUBSTITUTE(SUBSTITUTE(A16,"&amp;",","),"feat",","),".",""))</f>
        <v/>
      </c>
      <c r="AO11" s="20">
        <f>IFERROR(_xlfn.TEXTBEFORE(AN11,","),AN11)</f>
        <v/>
      </c>
      <c r="AP11" s="20">
        <f>IFERROR(TRIM(SUBSTITUTE(SUBSTITUTE(SUBSTITUTE(SUBSTITUTE(_xlfn.TEXTAFTER(AN11,",",1),AQ11,""),AR11,""),AS11,""),",","")),"")</f>
        <v/>
      </c>
      <c r="AQ11" s="20">
        <f>IFERROR(SUBSTITUTE(SUBSTITUTE(SUBSTITUTE(_xlfn.TEXTAFTER(AN11,",",2),AR11,""),",",""),AS11,""),"")</f>
        <v/>
      </c>
      <c r="AR11" s="20">
        <f>IFERROR(SUBSTITUTE(SUBSTITUTE(_xlfn.TEXTAFTER(AN11,",",3),AS11,""),",",""),"")</f>
        <v/>
      </c>
      <c r="AS11" s="20">
        <f>IFERROR(_xlfn.TEXTAFTER(AN11,",",4),"")</f>
        <v/>
      </c>
      <c r="AV11" s="11" t="n">
        <v>5</v>
      </c>
      <c r="AW11" s="9" t="inlineStr">
        <is>
          <t>Tech House</t>
        </is>
      </c>
      <c r="AX11" s="12" t="inlineStr">
        <is>
          <t>teamed up with Second, Third, Forth, and Fifth to deliver this energetic tune called ''''! Song would perfectly fit in any dance mood playlist! Label will invest up to 5000 EUR advertising on facebook and instagram ads aswell as promoting it over label and label partners playlists, radio stations and press.</t>
        </is>
      </c>
      <c r="AY11">
        <f>+_xlfn.TEXTBEFORE(text_list[[#This Row],[Text]],"''''!",,0)</f>
        <v/>
      </c>
      <c r="AZ11">
        <f>+_xlfn.TEXTBEFORE(_xlfn.TEXTAFTER(text_list[[#This Row],[Text]],"'''!"),"Label")</f>
        <v/>
      </c>
      <c r="BA11">
        <f>+_xlfn.TEXTAFTER(text_list[[#This Row],[Text]],text_list[[#This Row],[Type based on genre]])</f>
        <v/>
      </c>
      <c r="BB11" t="inlineStr">
        <is>
          <t xml:space="preserve"> </t>
        </is>
      </c>
      <c r="BH11" t="inlineStr">
        <is>
          <t>Piano House</t>
        </is>
      </c>
      <c r="BI11" t="inlineStr">
        <is>
          <t>piano[rand]</t>
        </is>
      </c>
      <c r="BJ11" t="inlineStr">
        <is>
          <t>piano[location]</t>
        </is>
      </c>
      <c r="BK11">
        <f>+map_location[[#This Row],[rand]]</f>
        <v/>
      </c>
      <c r="BL11">
        <f>"R"&amp;ROW(BP3)&amp;"C"&amp;COLUMN(BP3)</f>
        <v/>
      </c>
      <c r="BM11">
        <f>"R"&amp;ROW(BP4)&amp;"C"&amp;COLUMN(BP4)</f>
        <v/>
      </c>
      <c r="BN11">
        <f>"R"&amp;ROW(BP5)&amp;"C"&amp;COLUMN(BP5)</f>
        <v/>
      </c>
    </row>
    <row r="12">
      <c r="A12" t="inlineStr">
        <is>
          <t>Jerry Of Everything, Lo - Fi Music Rudolph, Floating Blue</t>
        </is>
      </c>
      <c r="B12" t="inlineStr">
        <is>
          <t>Physics</t>
        </is>
      </c>
      <c r="D12" t="inlineStr">
        <is>
          <t>April 1st, 2022</t>
        </is>
      </c>
      <c r="E12" t="inlineStr">
        <is>
          <t>01.04.2022</t>
        </is>
      </c>
      <c r="F12" s="3" t="n">
        <v>5063010719435</v>
      </c>
      <c r="G12" t="inlineStr">
        <is>
          <t xml:space="preserve">GX3HH2278617
</t>
        </is>
      </c>
      <c r="H12" s="7" t="n"/>
      <c r="I12" t="inlineStr">
        <is>
          <t>2</t>
        </is>
      </c>
      <c r="J12" t="inlineStr">
        <is>
          <t>09</t>
        </is>
      </c>
      <c r="K12" t="inlineStr">
        <is>
          <t>https://soundcloud.com/floatingbluerecords/jerry-of-everything-lo-fi-music-rudolph-floating-blue-physics/s-mgJrfBaWPFR?si=775748fa9cea406793f9d80512b2f8c3&amp;utm_source=clipboard&amp;utm_medium=text&amp;utm_campaign=social_sharing</t>
        </is>
      </c>
      <c r="L12" t="inlineStr">
        <is>
          <t>Floating Blue Records</t>
        </is>
      </c>
      <c r="O12">
        <f>IF(N12="Remix","Citas:Remix",IF(N12="Cover","Citas:Cover",IF(N12="Radio","Single",IF(N12="Radio/Extended","Single",""))))</f>
        <v/>
      </c>
      <c r="P12">
        <f>IF(M12=1,"High_Priority",IF(M12=2,"Priority",IF(M12=3,"General_Release",IF(M12=4,"General_Release",IF(M12="","")))))</f>
        <v/>
      </c>
      <c r="Q12">
        <f>IF(N12="Remix","Citas:Remix",IF(N12="Cover","Citas:Cover",IF(N12="Radio","Single",IF(N12="Radio/Extended","Single",""))))</f>
        <v/>
      </c>
      <c r="R12">
        <f t="array" ref="R12">IF(SUM(COUNTIF(H12,{"*Deep*";"*Bass*";"*Slap*"})),"Citas:Deep House",IF(SUM(COUNTIF(H12,{"*Lo-Fi*"})),"Citas:Lo-Fi",IF(SUM(COUNTIF(H12,{"*Tech*"})),"Citas:Tech House",IF(SUM(COUNTIF(H12,{"*Indie/Chill Dance*"})),"Citas:Indie/Chill Dance",IF(SUM(COUNTIF(H12,{"*Piano*"})),"Citas:Piano House",IF(SUM(COUNTIF(H12,{"*EDM*"})),"edm dance",IF(H12="","","")))))))</f>
        <v/>
      </c>
      <c r="S12">
        <f t="array" ref="S12">IF(SUM(COUNTIF(H12,{"*Deep*";"*Bass*";"*Slap*"})),"energetic",IF(SUM(COUNTIF(H12,{"*Lo-Fi*"})),"calm",IF(SUM(COUNTIF(H12,{"*Tech*"})),"energetic",IF(SUM(COUNTIF(H12,{"*Indie/Chill Dance*"})),"chillout",IF(SUM(COUNTIF(H12,{"*Piano*"})),"energetic",IF(SUM(COUNTIF(H12,{"*EDM*"})),"energetic",IF(H12="","","")))))))</f>
        <v/>
      </c>
      <c r="T12">
        <f t="array" ref="T12">IF(SUM(COUNTIF(H12,{"*Tech*";"*EDM*";"*Indie*";"*Deep*";"*Piano*";"*Slap*";"*Brazilian Bass*"})),"Song would perfectly fit in any dance mood playlist! Label will invest up to 5000 EUR advertising on facebook and instagram ads aswell as promoting it over label and label partners playlists, radio stations and press.",IF(SUM(COUNTIF(H12,{"*Lo-Fi*"})),"Song would perfectly fit in any Lo-Fi mood playlist! Label will invest up to 5000 EUR advertising on facebook and instagram ads aswell as promoting it over label and label partners playlists, radio stations and press.",IF(H12="","","")))</f>
        <v/>
      </c>
      <c r="U12">
        <f>IF(N12="Cover","SGL",IF(N12="Radio","SGL",IF(N12="Remix","RMX",IF(N12="","","SGL"))))</f>
        <v/>
      </c>
      <c r="V12">
        <f>IF(L12="Floating Blue Records","Instrumental only",IF(L12="Day Dose Of House","Electronic, Dance, Deep House",""))</f>
        <v/>
      </c>
      <c r="X12">
        <f t="array" aca="1" ref="X12" ca="1">+IF(H12="LO-FI","",IFERROR(INDEX(INDIRECT((_xlfn.XLOOKUP(H12,map_location[Genre],map_location[location]))),RANK(INDIRECT((_xlfn.XLOOKUP(H12,map_location[Genre],map_location[min])),FALSE),INDIRECT((_xlfn.XLOOKUP(H12,map_location[Genre],map_location[rand]))),1)),""))</f>
        <v/>
      </c>
      <c r="Y12">
        <f t="array" ref="Y12">IF(SUM(COUNTIF(H12,{"*Deep*";"*Bass*";"*Slap*"})),"**Deep House**House**Dance**",IF(SUM(COUNTIF(H12,{"*Lo-Fi*"})),"**Lo-Fi Pop**Lo-Fi Beats**Lo-Fi**",IF(SUM(COUNTIF(H12,{"*Tech*"})),"**Deep House**Tech House**Dance**",IF(SUM(COUNTIF(H12,{"*Indie/Chill Dance*"})),"**Indie Dance**Indie Electronic**Dance Pop**",IF(SUM(COUNTIF(H12,{"*Piano*"})),"**House**Electro house**Melodic House**",IF(SUM(COUNTIF(H12,{"*EDM*"})),"**EDM**Electro house**Dance Pop**",IF(H12="","","")))))))</f>
        <v/>
      </c>
      <c r="Z12">
        <f t="array" ref="Z12">IF(SUM(COUNTIF(H12,{"*Deep*";"*Bass*";"*Slap*"})),"Energetic,Happy",IF(SUM(COUNTIF(H12,{"*Lo-Fi*"})),"Romantic,Chill",IF(SUM(COUNTIF(H12,{"*Tech*"})),"Energetic,Happy",IF(SUM(COUNTIF(H12,{"*Indie/Chill Dance*"})),"Energetic,Chill",IF(SUM(COUNTIF(H12,{"*Piano*"})),"Energetic,Happy",IF(SUM(COUNTIF(H12,{"*EDM*"})),"Energetic,Happy",IF(H12="","","")))))))</f>
        <v/>
      </c>
      <c r="AA12">
        <f t="array" ref="AA12">IF(SUM(COUNTIF(H12,{"*Deep*";"*Bass*";"*Slap*"})),"None of these",IF(SUM(COUNTIF(H12,{"*Lo-Fi*"})),"Holiday,Beats",IF(SUM(COUNTIF(H12,{"*Tech*"})),"None of these",IF(SUM(COUNTIF(H12,{"*Indie/Chill Dance*"})),"None of these",IF(SUM(COUNTIF(H12,{"*Piano*"})),"None of these",IF(SUM(COUNTIF(H12,{"*EDM*"})),"None of these",IF(H12="","","")))))))</f>
        <v/>
      </c>
      <c r="AB12">
        <f t="array" ref="AB12">IF(SUM(COUNTIF(H12,{"*Deep*";"*Bass*";"*Slap*"})),"Samples,Synthesizer,Bass Guitar,Piano,Drum Kit,Electric Guitar",IF(SUM(COUNTIF(H12,{"*Lo-Fi*"})),"Samples,Synthesizer,Bass Guitar,Piano,Drum Kit,Electric Guitar",IF(SUM(COUNTIF(H12,{"*Tech*"})),"Samples,Synthesizer,Bass Guitar,Piano,Drum Kit,Electric Guitar",IF(SUM(COUNTIF(H12,{"*Indie/Chill Dance*"})),"Samples,Synthesizer,Bass Guitar,Piano,Drum Kit,Electric Guitar",IF(SUM(COUNTIF(H12,{"*Piano*"})),"Samples,Synthesizer,Bass Guitar,Piano,Drum Kit,Electric Guitar",IF(SUM(COUNTIF(H12,{"*EDM*"})),"Samples,Synthesizer,Bass Guitar,Piano,Drum Kit,Electric Guitar",IF(H12="","","")))))))</f>
        <v/>
      </c>
      <c r="AC12">
        <f t="array" ref="AC12">IF(N12="Cover","Yes",IF(SUM(COUNTIF(N12,{"*Radio/Extended*";"*Radio*";"*Remix*"})),"No",""))</f>
        <v/>
      </c>
      <c r="AD12">
        <f t="array" ref="AD12">IF(N12="Remix","Yes",IF(SUM(COUNTIF(N12,{"*Radio/Extended*";"*Radio*";"*Cover*"})),"No",""))</f>
        <v/>
      </c>
      <c r="AE12">
        <f>IF(ISTEXT(A12),"**English**","")</f>
        <v/>
      </c>
      <c r="AF12">
        <f t="array" aca="1" ref="AF12" ca="1">+TRIM(SUBSTITUTE(SUBSTITUTE(SUBSTITUTE(SUBSTITUTE(IFERROR(AO12&amp;" "&amp;+_xlfn.XLOOKUP(((SUM(LEN(AN12))-SUM(LEN(SUBSTITUTE(AN12,",",""))))/LEN(",")+1)&amp;H12,AV:AV&amp;AW:AW,AY:AY)&amp;CHAR(34)&amp;B12&amp;CHAR(34)&amp;"!"&amp;_xlfn.XLOOKUP(H12,text_list[Genre],text_list[Type based on genre]&amp;text_list[Label]),""),"Second",AP12),"Third",AQ12),"Forth",AR12),"Fifth",AS12&amp;" "))</f>
        <v/>
      </c>
      <c r="AI12">
        <f t="array" ref="AI12">IF(SUM(COUNTIF(H12,{"*Deep*";"*Bass*";"*Slap*"})),"**Tiësto**Imanbek**",IF(SUM(COUNTIF(H12,{"*Lo-Fi*"})),"**L.Dre**Yasumu**",IF(SUM(COUNTIF(H12,{"*Tech*"})),"**Mau P**Gorgon City**",IF(SUM(COUNTIF(H12,{"*Indie/Chill Dance*"})),"**Felix Jaehn**Lost Frequencies**",IF(SUM(COUNTIF(H12,{"*Piano*"})),"**Avicii**Eric Prydz**",IF(SUM(COUNTIF(H12,{"*EDM*"})),"**David Guetta**Swedish House Mafia**",IF(H12="","","")))))))</f>
        <v/>
      </c>
      <c r="AJ12">
        <f t="array" aca="1" ref="AJ12" ca="1">+IFERROR(INDEX(INDIRECT((_xlfn.XLOOKUP(H12,map_country[Genre],map_country[country]))),RANK(INDIRECT((_xlfn.XLOOKUP(H12,map_country[Genre],map_country[min])),FALSE),INDIRECT((_xlfn.XLOOKUP(H12,map_country[Genre],map_country[rand]))),1)),"")</f>
        <v/>
      </c>
      <c r="AK12">
        <f t="array" ref="AK12">IF(SUM(COUNTIF(H12,{"*Deep*";"*Bass*";"*Slap*"})),"Cool,Upbeat,Dark",IF(SUM(COUNTIF(H12,{"*Lo-Fi*"})),"Sexy,Relaxing,Romantic",IF(SUM(COUNTIF(H12,{"*Tech*"})),"Cool,Upbeat,Dark",IF(SUM(COUNTIF(H12,{"*Indie/Chill Dance*"})),"Cool,Upbeat,Light",IF(SUM(COUNTIF(H12,{"*Piano*"})),"Cool,Upbeat,Light",IF(SUM(COUNTIF(H12,{"*EDM*"})),"Cool,Upbeat,Happy Mood",IF(H12="","","")))))))</f>
        <v/>
      </c>
      <c r="AL12">
        <f t="array" ref="AL12">IF(SUM(COUNTIF(H12,{"*Deep*";"*Bass*";"*Slap*"})),"Hard &amp; Heavy,Chilling Out &amp; Lounging,Happy &amp; Upbeat",IF(SUM(COUNTIF(H12,{"*Lo-Fi*"})),"Work, Study &amp; Reading,Chilling Out &amp; Lounging,Relaxed &amp; Laid Back",IF(SUM(COUNTIF(H12,{"*Tech*"})),"Hard &amp; Heavy,Chilling Out &amp; Lounging,Happy &amp; Upbeat",IF(SUM(COUNTIF(H12,{"*Indie/Chill Dance*"})),"Hard &amp; Heavy,Chilling Out &amp; Lounging,Happy &amp; Upbeat",IF(SUM(COUNTIF(H12,{"*Piano*"})),"Hard &amp; Heavy,Chilling Out &amp; Lounging,Happy &amp; Upbeat",IF(SUM(COUNTIF(H12,{"*EDM*"})),"Hard &amp; Heavy,Chilling Out &amp; Lounging,Happy &amp; Upbeat",IF(H12="","","")))))))</f>
        <v/>
      </c>
      <c r="AN12" s="20">
        <f>TRIM(SUBSTITUTE(SUBSTITUTE(SUBSTITUTE(A17,"&amp;",","),"feat",","),".",""))</f>
        <v/>
      </c>
      <c r="AO12" s="20">
        <f>IFERROR(_xlfn.TEXTBEFORE(AN12,","),AN12)</f>
        <v/>
      </c>
      <c r="AP12" s="20">
        <f>IFERROR(TRIM(SUBSTITUTE(SUBSTITUTE(SUBSTITUTE(SUBSTITUTE(_xlfn.TEXTAFTER(AN12,",",1),AQ12,""),AR12,""),AS12,""),",","")),"")</f>
        <v/>
      </c>
      <c r="AQ12" s="20">
        <f>IFERROR(SUBSTITUTE(SUBSTITUTE(SUBSTITUTE(_xlfn.TEXTAFTER(AN12,",",2),AR12,""),",",""),AS12,""),"")</f>
        <v/>
      </c>
      <c r="AR12" s="20">
        <f>IFERROR(SUBSTITUTE(SUBSTITUTE(_xlfn.TEXTAFTER(AN12,",",3),AS12,""),",",""),"")</f>
        <v/>
      </c>
      <c r="AS12" s="20">
        <f>IFERROR(_xlfn.TEXTAFTER(AN12,",",4),"")</f>
        <v/>
      </c>
      <c r="AV12" s="11" t="n">
        <v>1</v>
      </c>
      <c r="AW12" s="9" t="inlineStr">
        <is>
          <t>Piano House</t>
        </is>
      </c>
      <c r="AX12"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12">
        <f>+_xlfn.TEXTBEFORE(text_list[[#This Row],[Text]],"''''!",,0)</f>
        <v/>
      </c>
      <c r="AZ12">
        <f>+_xlfn.TEXTBEFORE(_xlfn.TEXTAFTER(text_list[[#This Row],[Text]],"'''!"),"Label")</f>
        <v/>
      </c>
      <c r="BA12">
        <f>+_xlfn.TEXTAFTER(text_list[[#This Row],[Text]],text_list[[#This Row],[Type based on genre]])</f>
        <v/>
      </c>
      <c r="BB12" t="inlineStr">
        <is>
          <t xml:space="preserve"> </t>
        </is>
      </c>
      <c r="BH12" t="inlineStr">
        <is>
          <t>Indie/Chill Dance</t>
        </is>
      </c>
      <c r="BI12" t="inlineStr">
        <is>
          <t>indie[rand]</t>
        </is>
      </c>
      <c r="BJ12" t="inlineStr">
        <is>
          <t>indie[location]</t>
        </is>
      </c>
      <c r="BK12">
        <f>+map_location[[#This Row],[rand]]</f>
        <v/>
      </c>
      <c r="BL12">
        <f>"R"&amp;ROW(BT3)&amp;"C"&amp;COLUMN(BT3)</f>
        <v/>
      </c>
      <c r="BM12">
        <f>"R"&amp;ROW(BT4)&amp;"C"&amp;COLUMN(BT4)</f>
        <v/>
      </c>
      <c r="BN12">
        <f>"R"&amp;ROW(BT5)&amp;"C"&amp;COLUMN(BT5)</f>
        <v/>
      </c>
    </row>
    <row r="13">
      <c r="A13" t="inlineStr">
        <is>
          <t>Aesthetic Lofi</t>
        </is>
      </c>
      <c r="B13" t="inlineStr">
        <is>
          <t>Flashback</t>
        </is>
      </c>
      <c r="C13" t="inlineStr">
        <is>
          <t>Latvia</t>
        </is>
      </c>
      <c r="D13" t="inlineStr">
        <is>
          <t>November 25th, 2022</t>
        </is>
      </c>
      <c r="E13" t="inlineStr">
        <is>
          <t>25.11.2022</t>
        </is>
      </c>
      <c r="F13" s="3" t="n">
        <v>5063212066368</v>
      </c>
      <c r="G13" t="inlineStr">
        <is>
          <t xml:space="preserve">GX8KD2285093
</t>
        </is>
      </c>
      <c r="H13" s="7" t="inlineStr">
        <is>
          <t>Lo-Fi</t>
        </is>
      </c>
      <c r="I13" t="inlineStr">
        <is>
          <t>2</t>
        </is>
      </c>
      <c r="J13" t="inlineStr">
        <is>
          <t>01</t>
        </is>
      </c>
      <c r="K13" t="inlineStr">
        <is>
          <t>https://soundcloud.com/floatingbluerecords/aesthetic-lofi-morning-dan-lo-fi-music-rudolph-flashback/s-bsCwKyakyPD?si=29850d580ec547a3a1ea085c12f4c32b&amp;utm\_source=clipboard&amp;utm\_medium=text&amp;utm\_campaign=social\_sharing</t>
        </is>
      </c>
      <c r="L13" t="inlineStr">
        <is>
          <t>Floating Blue Records</t>
        </is>
      </c>
      <c r="M13" t="n">
        <v>2</v>
      </c>
      <c r="N13" t="inlineStr">
        <is>
          <t>Radio</t>
        </is>
      </c>
      <c r="O13">
        <f>IF(N13="Remix","Citas:Remix",IF(N13="Cover","Citas:Cover",IF(N13="Radio","Single",IF(N13="Radio/Extended","Single",""))))</f>
        <v/>
      </c>
      <c r="P13">
        <f>IF(M13=1,"High_Priority",IF(M13=2,"Priority",IF(M13=3,"General_Release",IF(M13=4,"General_Release",IF(M13="","")))))</f>
        <v/>
      </c>
      <c r="Q13">
        <f>IF(N13="Remix","Citas:Remix",IF(N13="Cover","Citas:Cover",IF(N13="Radio","Single",IF(N13="Radio/Extended","Single",""))))</f>
        <v/>
      </c>
      <c r="R13">
        <f t="array" ref="R13">IF(SUM(COUNTIF(H13,{"*Deep*";"*Bass*";"*Slap*"})),"Citas:Deep House",IF(SUM(COUNTIF(H13,{"*Lo-Fi*"})),"Citas:Lo-Fi",IF(SUM(COUNTIF(H13,{"*Tech*"})),"Citas:Tech House",IF(SUM(COUNTIF(H13,{"*Indie/Chill Dance*"})),"Citas:Indie/Chill Dance",IF(SUM(COUNTIF(H13,{"*Piano*"})),"Citas:Piano House",IF(SUM(COUNTIF(H13,{"*EDM*"})),"edm dance",IF(H13="","","")))))))</f>
        <v/>
      </c>
      <c r="S13">
        <f t="array" ref="S13">IF(SUM(COUNTIF(H13,{"*Deep*";"*Bass*";"*Slap*"})),"energetic",IF(SUM(COUNTIF(H13,{"*Lo-Fi*"})),"calm",IF(SUM(COUNTIF(H13,{"*Tech*"})),"energetic",IF(SUM(COUNTIF(H13,{"*Indie/Chill Dance*"})),"chillout",IF(SUM(COUNTIF(H13,{"*Piano*"})),"energetic",IF(SUM(COUNTIF(H13,{"*EDM*"})),"energetic",IF(H13="","","")))))))</f>
        <v/>
      </c>
      <c r="T13">
        <f t="array" ref="T13">IF(SUM(COUNTIF(H13,{"*Tech*";"*EDM*";"*Indie*";"*Deep*";"*Piano*";"*Slap*";"*Brazilian Bass*"})),"Song would perfectly fit in any dance mood playlist! Label will invest up to 5000 EUR advertising on facebook and instagram ads aswell as promoting it over label and label partners playlists, radio stations and press.",IF(SUM(COUNTIF(H13,{"*Lo-Fi*"})),"Song would perfectly fit in any Lo-Fi mood playlist! Label will invest up to 5000 EUR advertising on facebook and instagram ads aswell as promoting it over label and label partners playlists, radio stations and press.",IF(H13="","","")))</f>
        <v/>
      </c>
      <c r="U13">
        <f>IF(N13="Cover","SGL",IF(N13="Radio","SGL",IF(N13="Remix","RMX",IF(N13="","","SGL"))))</f>
        <v/>
      </c>
      <c r="V13">
        <f>IF(L13="Floating Blue Records","Instrumental only",IF(L13="Day Dose Of House","Electronic, Dance, Deep House",""))</f>
        <v/>
      </c>
      <c r="X13">
        <f t="array" aca="1" ref="X13" ca="1">+IF(H13="LO-FI","",IFERROR(INDEX(INDIRECT((_xlfn.XLOOKUP(H13,map_location[Genre],map_location[location]))),RANK(INDIRECT((_xlfn.XLOOKUP(H13,map_location[Genre],map_location[min])),FALSE),INDIRECT((_xlfn.XLOOKUP(H13,map_location[Genre],map_location[rand]))),1)),""))</f>
        <v/>
      </c>
      <c r="Y13">
        <f t="array" ref="Y13">IF(SUM(COUNTIF(H13,{"*Deep*";"*Bass*";"*Slap*"})),"**Deep House**House**Dance**",IF(SUM(COUNTIF(H13,{"*Lo-Fi*"})),"**Lo-Fi Pop**Lo-Fi Beats**Lo-Fi**",IF(SUM(COUNTIF(H13,{"*Tech*"})),"**Deep House**Tech House**Dance**",IF(SUM(COUNTIF(H13,{"*Indie/Chill Dance*"})),"**Indie Dance**Indie Electronic**Dance Pop**",IF(SUM(COUNTIF(H13,{"*Piano*"})),"**House**Electro house**Melodic House**",IF(SUM(COUNTIF(H13,{"*EDM*"})),"**EDM**Electro house**Dance Pop**",IF(H13="","","")))))))</f>
        <v/>
      </c>
      <c r="Z13">
        <f t="array" ref="Z13">IF(SUM(COUNTIF(H13,{"*Deep*";"*Bass*";"*Slap*"})),"Energetic,Happy",IF(SUM(COUNTIF(H13,{"*Lo-Fi*"})),"Romantic,Chill",IF(SUM(COUNTIF(H13,{"*Tech*"})),"Energetic,Happy",IF(SUM(COUNTIF(H13,{"*Indie/Chill Dance*"})),"Energetic,Chill",IF(SUM(COUNTIF(H13,{"*Piano*"})),"Energetic,Happy",IF(SUM(COUNTIF(H13,{"*EDM*"})),"Energetic,Happy",IF(H13="","","")))))))</f>
        <v/>
      </c>
      <c r="AA13">
        <f t="array" ref="AA13">IF(SUM(COUNTIF(H13,{"*Deep*";"*Bass*";"*Slap*"})),"None of these",IF(SUM(COUNTIF(H13,{"*Lo-Fi*"})),"Holiday,Beats",IF(SUM(COUNTIF(H13,{"*Tech*"})),"None of these",IF(SUM(COUNTIF(H13,{"*Indie/Chill Dance*"})),"None of these",IF(SUM(COUNTIF(H13,{"*Piano*"})),"None of these",IF(SUM(COUNTIF(H13,{"*EDM*"})),"None of these",IF(H13="","","")))))))</f>
        <v/>
      </c>
      <c r="AB13">
        <f t="array" ref="AB13">IF(SUM(COUNTIF(H13,{"*Deep*";"*Bass*";"*Slap*"})),"Samples,Synthesizer,Bass Guitar,Piano,Drum Kit,Electric Guitar",IF(SUM(COUNTIF(H13,{"*Lo-Fi*"})),"Samples,Synthesizer,Bass Guitar,Piano,Drum Kit,Electric Guitar",IF(SUM(COUNTIF(H13,{"*Tech*"})),"Samples,Synthesizer,Bass Guitar,Piano,Drum Kit,Electric Guitar",IF(SUM(COUNTIF(H13,{"*Indie/Chill Dance*"})),"Samples,Synthesizer,Bass Guitar,Piano,Drum Kit,Electric Guitar",IF(SUM(COUNTIF(H13,{"*Piano*"})),"Samples,Synthesizer,Bass Guitar,Piano,Drum Kit,Electric Guitar",IF(SUM(COUNTIF(H13,{"*EDM*"})),"Samples,Synthesizer,Bass Guitar,Piano,Drum Kit,Electric Guitar",IF(H13="","","")))))))</f>
        <v/>
      </c>
      <c r="AC13">
        <f t="array" ref="AC13">IF(N13="Cover","Yes",IF(SUM(COUNTIF(N13,{"*Radio/Extended*";"*Radio*";"*Remix*"})),"No",""))</f>
        <v/>
      </c>
      <c r="AD13">
        <f t="array" ref="AD13">IF(N13="Remix","Yes",IF(SUM(COUNTIF(N13,{"*Radio/Extended*";"*Radio*";"*Cover*"})),"No",""))</f>
        <v/>
      </c>
      <c r="AE13">
        <f>IF(ISTEXT(A13),"**English**","")</f>
        <v/>
      </c>
      <c r="AF13">
        <f t="array" aca="1" ref="AF13" ca="1">+TRIM(SUBSTITUTE(SUBSTITUTE(SUBSTITUTE(SUBSTITUTE(IFERROR(AO13&amp;" "&amp;+_xlfn.XLOOKUP(((SUM(LEN(AN13))-SUM(LEN(SUBSTITUTE(AN13,",",""))))/LEN(",")+1)&amp;H13,AV:AV&amp;AW:AW,AY:AY)&amp;CHAR(34)&amp;B13&amp;CHAR(34)&amp;"!"&amp;_xlfn.XLOOKUP(H13,text_list[Genre],text_list[Type based on genre]&amp;text_list[Label]),""),"Second",AP13),"Third",AQ13),"Forth",AR13),"Fifth",AS13&amp;" "))</f>
        <v/>
      </c>
      <c r="AI13">
        <f t="array" ref="AI13">IF(SUM(COUNTIF(H13,{"*Deep*";"*Bass*";"*Slap*"})),"**Tiësto**Imanbek**",IF(SUM(COUNTIF(H13,{"*Lo-Fi*"})),"**L.Dre**Yasumu**",IF(SUM(COUNTIF(H13,{"*Tech*"})),"**Mau P**Gorgon City**",IF(SUM(COUNTIF(H13,{"*Indie/Chill Dance*"})),"**Felix Jaehn**Lost Frequencies**",IF(SUM(COUNTIF(H13,{"*Piano*"})),"**Avicii**Eric Prydz**",IF(SUM(COUNTIF(H13,{"*EDM*"})),"**David Guetta**Swedish House Mafia**",IF(H13="","","")))))))</f>
        <v/>
      </c>
      <c r="AJ13">
        <f t="array" aca="1" ref="AJ13" ca="1">+IFERROR(INDEX(INDIRECT((_xlfn.XLOOKUP(H13,map_country[Genre],map_country[country]))),RANK(INDIRECT((_xlfn.XLOOKUP(H13,map_country[Genre],map_country[min])),FALSE),INDIRECT((_xlfn.XLOOKUP(H13,map_country[Genre],map_country[rand]))),1)),"")</f>
        <v/>
      </c>
      <c r="AK13">
        <f t="array" ref="AK13">IF(SUM(COUNTIF(H13,{"*Deep*";"*Bass*";"*Slap*"})),"Cool,Upbeat,Dark",IF(SUM(COUNTIF(H13,{"*Lo-Fi*"})),"Sexy,Relaxing,Romantic",IF(SUM(COUNTIF(H13,{"*Tech*"})),"Cool,Upbeat,Dark",IF(SUM(COUNTIF(H13,{"*Indie/Chill Dance*"})),"Cool,Upbeat,Light",IF(SUM(COUNTIF(H13,{"*Piano*"})),"Cool,Upbeat,Light",IF(SUM(COUNTIF(H13,{"*EDM*"})),"Cool,Upbeat,Happy Mood",IF(H13="","","")))))))</f>
        <v/>
      </c>
      <c r="AL13">
        <f t="array" ref="AL13">IF(SUM(COUNTIF(H13,{"*Deep*";"*Bass*";"*Slap*"})),"Hard &amp; Heavy,Chilling Out &amp; Lounging,Happy &amp; Upbeat",IF(SUM(COUNTIF(H13,{"*Lo-Fi*"})),"Work, Study &amp; Reading,Chilling Out &amp; Lounging,Relaxed &amp; Laid Back",IF(SUM(COUNTIF(H13,{"*Tech*"})),"Hard &amp; Heavy,Chilling Out &amp; Lounging,Happy &amp; Upbeat",IF(SUM(COUNTIF(H13,{"*Indie/Chill Dance*"})),"Hard &amp; Heavy,Chilling Out &amp; Lounging,Happy &amp; Upbeat",IF(SUM(COUNTIF(H13,{"*Piano*"})),"Hard &amp; Heavy,Chilling Out &amp; Lounging,Happy &amp; Upbeat",IF(SUM(COUNTIF(H13,{"*EDM*"})),"Hard &amp; Heavy,Chilling Out &amp; Lounging,Happy &amp; Upbeat",IF(H13="","","")))))))</f>
        <v/>
      </c>
      <c r="AN13" s="20">
        <f>TRIM(SUBSTITUTE(SUBSTITUTE(SUBSTITUTE(A18,"&amp;",","),"feat",","),".",""))</f>
        <v/>
      </c>
      <c r="AO13" s="20">
        <f>IFERROR(_xlfn.TEXTBEFORE(AN13,","),AN13)</f>
        <v/>
      </c>
      <c r="AP13" s="20">
        <f>IFERROR(TRIM(SUBSTITUTE(SUBSTITUTE(SUBSTITUTE(SUBSTITUTE(_xlfn.TEXTAFTER(AN13,",",1),AQ13,""),AR13,""),AS13,""),",","")),"")</f>
        <v/>
      </c>
      <c r="AQ13" s="20">
        <f>IFERROR(SUBSTITUTE(SUBSTITUTE(SUBSTITUTE(_xlfn.TEXTAFTER(AN13,",",2),AR13,""),",",""),AS13,""),"")</f>
        <v/>
      </c>
      <c r="AR13" s="20">
        <f>IFERROR(SUBSTITUTE(SUBSTITUTE(_xlfn.TEXTAFTER(AN13,",",3),AS13,""),",",""),"")</f>
        <v/>
      </c>
      <c r="AS13" s="20">
        <f>IFERROR(_xlfn.TEXTAFTER(AN13,",",4),"")</f>
        <v/>
      </c>
      <c r="AV13" s="11" t="n">
        <v>2</v>
      </c>
      <c r="AW13" s="9" t="inlineStr">
        <is>
          <t>Piano House</t>
        </is>
      </c>
      <c r="AX13"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13">
        <f>+_xlfn.TEXTBEFORE(text_list[[#This Row],[Text]],"''''!",,0)</f>
        <v/>
      </c>
      <c r="AZ13">
        <f>+_xlfn.TEXTBEFORE(_xlfn.TEXTAFTER(text_list[[#This Row],[Text]],"'''!"),"Label")</f>
        <v/>
      </c>
      <c r="BA13">
        <f>+_xlfn.TEXTAFTER(text_list[[#This Row],[Text]],text_list[[#This Row],[Type based on genre]])</f>
        <v/>
      </c>
      <c r="BB13" t="inlineStr">
        <is>
          <t xml:space="preserve"> </t>
        </is>
      </c>
      <c r="BH13" t="inlineStr">
        <is>
          <t>Slap House</t>
        </is>
      </c>
      <c r="BI13" t="inlineStr">
        <is>
          <t>slap[rand]</t>
        </is>
      </c>
      <c r="BJ13" t="inlineStr">
        <is>
          <t>slap[location]</t>
        </is>
      </c>
      <c r="BK13">
        <f>+map_location[[#This Row],[rand]]</f>
        <v/>
      </c>
      <c r="BL13">
        <f>"R"&amp;ROW(BX3)&amp;"C"&amp;COLUMN(BX3)</f>
        <v/>
      </c>
      <c r="BM13">
        <f>"R"&amp;ROW(BX4)&amp;"C"&amp;COLUMN(BX4)</f>
        <v/>
      </c>
      <c r="BN13">
        <f>"R"&amp;ROW(BX5)&amp;"C"&amp;COLUMN(BX5)</f>
        <v/>
      </c>
    </row>
    <row r="14">
      <c r="A14" t="inlineStr">
        <is>
          <t xml:space="preserve"> Morning Dan</t>
        </is>
      </c>
      <c r="B14" t="inlineStr">
        <is>
          <t>Flashback</t>
        </is>
      </c>
      <c r="C14" t="inlineStr">
        <is>
          <t>Latvia</t>
        </is>
      </c>
      <c r="D14" t="inlineStr">
        <is>
          <t>November 25th, 2022</t>
        </is>
      </c>
      <c r="E14" t="inlineStr">
        <is>
          <t>25.11.2022</t>
        </is>
      </c>
      <c r="F14" s="3" t="n">
        <v>5063212066368</v>
      </c>
      <c r="G14" t="inlineStr">
        <is>
          <t xml:space="preserve">GX8KD2285093
</t>
        </is>
      </c>
      <c r="H14" s="7" t="inlineStr">
        <is>
          <t>Lo-Fi</t>
        </is>
      </c>
      <c r="I14" t="inlineStr">
        <is>
          <t>2</t>
        </is>
      </c>
      <c r="J14" t="inlineStr">
        <is>
          <t>01</t>
        </is>
      </c>
      <c r="K14" t="inlineStr">
        <is>
          <t>https://soundcloud.com/floatingbluerecords/aesthetic-lofi-morning-dan-lo-fi-music-rudolph-flashback/s-bsCwKyakyPD?si=29850d580ec547a3a1ea085c12f4c32b&amp;utm\_source=clipboard&amp;utm\_medium=text&amp;utm\_campaign=social\_sharing</t>
        </is>
      </c>
      <c r="L14" t="inlineStr">
        <is>
          <t>Floating Blue Records</t>
        </is>
      </c>
      <c r="M14" t="n">
        <v>2</v>
      </c>
      <c r="N14" t="inlineStr">
        <is>
          <t>Radio</t>
        </is>
      </c>
      <c r="O14">
        <f>IF(N14="Remix","Citas:Remix",IF(N14="Cover","Citas:Cover",IF(N14="Radio","Single",IF(N14="Radio/Extended","Single",""))))</f>
        <v/>
      </c>
      <c r="P14">
        <f>IF(M14=1,"High_Priority",IF(M14=2,"Priority",IF(M14=3,"General_Release",IF(M14=4,"General_Release",IF(M14="","")))))</f>
        <v/>
      </c>
      <c r="Q14">
        <f>IF(N14="Remix","Citas:Remix",IF(N14="Cover","Citas:Cover",IF(N14="Radio","Single",IF(N14="Radio/Extended","Single",""))))</f>
        <v/>
      </c>
      <c r="R14">
        <f t="array" ref="R14">IF(SUM(COUNTIF(H14,{"*Deep*";"*Bass*";"*Slap*"})),"Citas:Deep House",IF(SUM(COUNTIF(H14,{"*Lo-Fi*"})),"Citas:Lo-Fi",IF(SUM(COUNTIF(H14,{"*Tech*"})),"Citas:Tech House",IF(SUM(COUNTIF(H14,{"*Indie/Chill Dance*"})),"Citas:Indie/Chill Dance",IF(SUM(COUNTIF(H14,{"*Piano*"})),"Citas:Piano House",IF(SUM(COUNTIF(H14,{"*EDM*"})),"edm dance",IF(H14="","","")))))))</f>
        <v/>
      </c>
      <c r="S14">
        <f t="array" ref="S14">IF(SUM(COUNTIF(H14,{"*Deep*";"*Bass*";"*Slap*"})),"energetic",IF(SUM(COUNTIF(H14,{"*Lo-Fi*"})),"calm",IF(SUM(COUNTIF(H14,{"*Tech*"})),"energetic",IF(SUM(COUNTIF(H14,{"*Indie/Chill Dance*"})),"chillout",IF(SUM(COUNTIF(H14,{"*Piano*"})),"energetic",IF(SUM(COUNTIF(H14,{"*EDM*"})),"energetic",IF(H14="","","")))))))</f>
        <v/>
      </c>
      <c r="T14">
        <f t="array" ref="T14">IF(SUM(COUNTIF(H14,{"*Tech*";"*EDM*";"*Indie*";"*Deep*";"*Piano*";"*Slap*";"*Brazilian Bass*"})),"Song would perfectly fit in any dance mood playlist! Label will invest up to 5000 EUR advertising on facebook and instagram ads aswell as promoting it over label and label partners playlists, radio stations and press.",IF(SUM(COUNTIF(H14,{"*Lo-Fi*"})),"Song would perfectly fit in any Lo-Fi mood playlist! Label will invest up to 5000 EUR advertising on facebook and instagram ads aswell as promoting it over label and label partners playlists, radio stations and press.",IF(H14="","","")))</f>
        <v/>
      </c>
      <c r="U14">
        <f>IF(N14="Cover","SGL",IF(N14="Radio","SGL",IF(N14="Remix","RMX",IF(N14="","","SGL"))))</f>
        <v/>
      </c>
      <c r="V14">
        <f>IF(L14="Floating Blue Records","Instrumental only",IF(L14="Day Dose Of House","Electronic, Dance, Deep House",""))</f>
        <v/>
      </c>
      <c r="X14">
        <f t="array" aca="1" ref="X14" ca="1">+IF(H14="LO-FI","",IFERROR(INDEX(INDIRECT((_xlfn.XLOOKUP(H14,map_location[Genre],map_location[location]))),RANK(INDIRECT((_xlfn.XLOOKUP(H14,map_location[Genre],map_location[min])),FALSE),INDIRECT((_xlfn.XLOOKUP(H14,map_location[Genre],map_location[rand]))),1)),""))</f>
        <v/>
      </c>
      <c r="Y14">
        <f t="array" ref="Y14">IF(SUM(COUNTIF(H14,{"*Deep*";"*Bass*";"*Slap*"})),"**Deep House**House**Dance**",IF(SUM(COUNTIF(H14,{"*Lo-Fi*"})),"**Lo-Fi Pop**Lo-Fi Beats**Lo-Fi**",IF(SUM(COUNTIF(H14,{"*Tech*"})),"**Deep House**Tech House**Dance**",IF(SUM(COUNTIF(H14,{"*Indie/Chill Dance*"})),"**Indie Dance**Indie Electronic**Dance Pop**",IF(SUM(COUNTIF(H14,{"*Piano*"})),"**House**Electro house**Melodic House**",IF(SUM(COUNTIF(H14,{"*EDM*"})),"**EDM**Electro house**Dance Pop**",IF(H14="","","")))))))</f>
        <v/>
      </c>
      <c r="Z14">
        <f t="array" ref="Z14">IF(SUM(COUNTIF(H14,{"*Deep*";"*Bass*";"*Slap*"})),"Energetic,Happy",IF(SUM(COUNTIF(H14,{"*Lo-Fi*"})),"Romantic,Chill",IF(SUM(COUNTIF(H14,{"*Tech*"})),"Energetic,Happy",IF(SUM(COUNTIF(H14,{"*Indie/Chill Dance*"})),"Energetic,Chill",IF(SUM(COUNTIF(H14,{"*Piano*"})),"Energetic,Happy",IF(SUM(COUNTIF(H14,{"*EDM*"})),"Energetic,Happy",IF(H14="","","")))))))</f>
        <v/>
      </c>
      <c r="AA14">
        <f t="array" ref="AA14">IF(SUM(COUNTIF(H14,{"*Deep*";"*Bass*";"*Slap*"})),"None of these",IF(SUM(COUNTIF(H14,{"*Lo-Fi*"})),"Holiday,Beats",IF(SUM(COUNTIF(H14,{"*Tech*"})),"None of these",IF(SUM(COUNTIF(H14,{"*Indie/Chill Dance*"})),"None of these",IF(SUM(COUNTIF(H14,{"*Piano*"})),"None of these",IF(SUM(COUNTIF(H14,{"*EDM*"})),"None of these",IF(H14="","","")))))))</f>
        <v/>
      </c>
      <c r="AB14">
        <f t="array" ref="AB14">IF(SUM(COUNTIF(H14,{"*Deep*";"*Bass*";"*Slap*"})),"Samples,Synthesizer,Bass Guitar,Piano,Drum Kit,Electric Guitar",IF(SUM(COUNTIF(H14,{"*Lo-Fi*"})),"Samples,Synthesizer,Bass Guitar,Piano,Drum Kit,Electric Guitar",IF(SUM(COUNTIF(H14,{"*Tech*"})),"Samples,Synthesizer,Bass Guitar,Piano,Drum Kit,Electric Guitar",IF(SUM(COUNTIF(H14,{"*Indie/Chill Dance*"})),"Samples,Synthesizer,Bass Guitar,Piano,Drum Kit,Electric Guitar",IF(SUM(COUNTIF(H14,{"*Piano*"})),"Samples,Synthesizer,Bass Guitar,Piano,Drum Kit,Electric Guitar",IF(SUM(COUNTIF(H14,{"*EDM*"})),"Samples,Synthesizer,Bass Guitar,Piano,Drum Kit,Electric Guitar",IF(H14="","","")))))))</f>
        <v/>
      </c>
      <c r="AC14">
        <f t="array" ref="AC14">IF(N14="Cover","Yes",IF(SUM(COUNTIF(N14,{"*Radio/Extended*";"*Radio*";"*Remix*"})),"No",""))</f>
        <v/>
      </c>
      <c r="AD14">
        <f t="array" ref="AD14">IF(N14="Remix","Yes",IF(SUM(COUNTIF(N14,{"*Radio/Extended*";"*Radio*";"*Cover*"})),"No",""))</f>
        <v/>
      </c>
      <c r="AE14">
        <f>IF(ISTEXT(A14),"**English**","")</f>
        <v/>
      </c>
      <c r="AF14">
        <f t="array" aca="1" ref="AF14" ca="1">+TRIM(SUBSTITUTE(SUBSTITUTE(SUBSTITUTE(SUBSTITUTE(IFERROR(AO14&amp;" "&amp;+_xlfn.XLOOKUP(((SUM(LEN(AN14))-SUM(LEN(SUBSTITUTE(AN14,",",""))))/LEN(",")+1)&amp;H14,AV:AV&amp;AW:AW,AY:AY)&amp;CHAR(34)&amp;B14&amp;CHAR(34)&amp;"!"&amp;_xlfn.XLOOKUP(H14,text_list[Genre],text_list[Type based on genre]&amp;text_list[Label]),""),"Second",AP14),"Third",AQ14),"Forth",AR14),"Fifth",AS14&amp;" "))</f>
        <v/>
      </c>
      <c r="AI14">
        <f t="array" ref="AI14">IF(SUM(COUNTIF(H14,{"*Deep*";"*Bass*";"*Slap*"})),"**Tiësto**Imanbek**",IF(SUM(COUNTIF(H14,{"*Lo-Fi*"})),"**L.Dre**Yasumu**",IF(SUM(COUNTIF(H14,{"*Tech*"})),"**Mau P**Gorgon City**",IF(SUM(COUNTIF(H14,{"*Indie/Chill Dance*"})),"**Felix Jaehn**Lost Frequencies**",IF(SUM(COUNTIF(H14,{"*Piano*"})),"**Avicii**Eric Prydz**",IF(SUM(COUNTIF(H14,{"*EDM*"})),"**David Guetta**Swedish House Mafia**",IF(H14="","","")))))))</f>
        <v/>
      </c>
      <c r="AJ14">
        <f t="array" aca="1" ref="AJ14" ca="1">+IFERROR(INDEX(INDIRECT((_xlfn.XLOOKUP(H14,map_country[Genre],map_country[country]))),RANK(INDIRECT((_xlfn.XLOOKUP(H14,map_country[Genre],map_country[min])),FALSE),INDIRECT((_xlfn.XLOOKUP(H14,map_country[Genre],map_country[rand]))),1)),"")</f>
        <v/>
      </c>
      <c r="AN14" s="20">
        <f>TRIM(SUBSTITUTE(SUBSTITUTE(SUBSTITUTE(A19,"&amp;",","),"feat",","),".",""))</f>
        <v/>
      </c>
      <c r="AO14" s="20">
        <f>IFERROR(_xlfn.TEXTBEFORE(AN14,","),AN14)</f>
        <v/>
      </c>
      <c r="AP14" s="20">
        <f>IFERROR(TRIM(SUBSTITUTE(SUBSTITUTE(SUBSTITUTE(SUBSTITUTE(_xlfn.TEXTAFTER(AN14,",",1),AQ14,""),AR14,""),AS14,""),",","")),"")</f>
        <v/>
      </c>
      <c r="AQ14" s="20">
        <f>IFERROR(SUBSTITUTE(SUBSTITUTE(SUBSTITUTE(_xlfn.TEXTAFTER(AN14,",",2),AR14,""),",",""),AS14,""),"")</f>
        <v/>
      </c>
      <c r="AR14" s="20">
        <f>IFERROR(SUBSTITUTE(SUBSTITUTE(_xlfn.TEXTAFTER(AN14,",",3),AS14,""),",",""),"")</f>
        <v/>
      </c>
      <c r="AS14" s="20">
        <f>IFERROR(_xlfn.TEXTAFTER(AN14,",",4),"")</f>
        <v/>
      </c>
      <c r="AV14" s="11" t="n">
        <v>3</v>
      </c>
      <c r="AW14" s="9" t="inlineStr">
        <is>
          <t>Piano House</t>
        </is>
      </c>
      <c r="AX14"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14">
        <f>+_xlfn.TEXTBEFORE(text_list[[#This Row],[Text]],"''''!",,0)</f>
        <v/>
      </c>
      <c r="AZ14">
        <f>+_xlfn.TEXTBEFORE(_xlfn.TEXTAFTER(text_list[[#This Row],[Text]],"'''!"),"Label")</f>
        <v/>
      </c>
      <c r="BA14">
        <f>+_xlfn.TEXTAFTER(text_list[[#This Row],[Text]],text_list[[#This Row],[Type based on genre]])</f>
        <v/>
      </c>
      <c r="BB14" t="inlineStr">
        <is>
          <t xml:space="preserve"> </t>
        </is>
      </c>
      <c r="BH14" t="inlineStr">
        <is>
          <t>Brazilian Bass</t>
        </is>
      </c>
      <c r="BI14" t="inlineStr">
        <is>
          <t>brazilian[rand]</t>
        </is>
      </c>
      <c r="BJ14" t="inlineStr">
        <is>
          <t>brazilian[location]</t>
        </is>
      </c>
      <c r="BK14">
        <f>+map_location[[#This Row],[rand]]</f>
        <v/>
      </c>
      <c r="BL14">
        <f>"R"&amp;ROW(CB3)&amp;"C"&amp;COLUMN(CB3)</f>
        <v/>
      </c>
      <c r="BM14">
        <f>"R"&amp;ROW(CB4)&amp;"C"&amp;COLUMN(CB4)</f>
        <v/>
      </c>
      <c r="BN14">
        <f>"R"&amp;ROW(CB5)&amp;"C"&amp;COLUMN(CB5)</f>
        <v/>
      </c>
    </row>
    <row r="15">
      <c r="A15" t="inlineStr">
        <is>
          <t xml:space="preserve"> Lo-Fi Music Rudolph</t>
        </is>
      </c>
      <c r="B15" t="inlineStr">
        <is>
          <t>Flashback</t>
        </is>
      </c>
      <c r="C15" t="inlineStr">
        <is>
          <t>Latvia</t>
        </is>
      </c>
      <c r="D15" t="inlineStr">
        <is>
          <t>November 25th, 2022</t>
        </is>
      </c>
      <c r="E15" t="inlineStr">
        <is>
          <t>25.11.2022</t>
        </is>
      </c>
      <c r="F15" s="3" t="n">
        <v>5063212066368</v>
      </c>
      <c r="G15" t="inlineStr">
        <is>
          <t xml:space="preserve">GX8KD2285093
</t>
        </is>
      </c>
      <c r="H15" s="7" t="inlineStr">
        <is>
          <t>Lo-Fi</t>
        </is>
      </c>
      <c r="I15" t="inlineStr">
        <is>
          <t>2</t>
        </is>
      </c>
      <c r="J15" t="inlineStr">
        <is>
          <t>01</t>
        </is>
      </c>
      <c r="K15" t="inlineStr">
        <is>
          <t>https://soundcloud.com/floatingbluerecords/aesthetic-lofi-morning-dan-lo-fi-music-rudolph-flashback/s-bsCwKyakyPD?si=29850d580ec547a3a1ea085c12f4c32b&amp;utm\_source=clipboard&amp;utm\_medium=text&amp;utm\_campaign=social\_sharing</t>
        </is>
      </c>
      <c r="L15" t="inlineStr">
        <is>
          <t>Floating Blue Records</t>
        </is>
      </c>
      <c r="M15" t="n">
        <v>2</v>
      </c>
      <c r="N15" t="inlineStr">
        <is>
          <t>Radio</t>
        </is>
      </c>
      <c r="O15">
        <f>IF(N15="Remix","Citas:Remix",IF(N15="Cover","Citas:Cover",IF(N15="Radio","Single",IF(N15="Radio/Extended","Single",""))))</f>
        <v/>
      </c>
      <c r="P15">
        <f>IF(M15=1,"High_Priority",IF(M15=2,"Priority",IF(M15=3,"General_Release",IF(M15=4,"General_Release",IF(M15="","")))))</f>
        <v/>
      </c>
      <c r="Q15">
        <f>IF(N15="Remix","Citas:Remix",IF(N15="Cover","Citas:Cover",IF(N15="Radio","Single",IF(N15="Radio/Extended","Single",""))))</f>
        <v/>
      </c>
      <c r="R15">
        <f t="array" ref="R15">IF(SUM(COUNTIF(H15,{"*Deep*";"*Bass*";"*Slap*"})),"Citas:Deep House",IF(SUM(COUNTIF(H15,{"*Lo-Fi*"})),"Citas:Lo-Fi",IF(SUM(COUNTIF(H15,{"*Tech*"})),"Citas:Tech House",IF(SUM(COUNTIF(H15,{"*Indie/Chill Dance*"})),"Citas:Indie/Chill Dance",IF(SUM(COUNTIF(H15,{"*Piano*"})),"Citas:Piano House",IF(SUM(COUNTIF(H15,{"*EDM*"})),"edm dance",IF(H15="","","")))))))</f>
        <v/>
      </c>
      <c r="S15">
        <f t="array" ref="S15">IF(SUM(COUNTIF(H15,{"*Deep*";"*Bass*";"*Slap*"})),"energetic",IF(SUM(COUNTIF(H15,{"*Lo-Fi*"})),"calm",IF(SUM(COUNTIF(H15,{"*Tech*"})),"energetic",IF(SUM(COUNTIF(H15,{"*Indie/Chill Dance*"})),"chillout",IF(SUM(COUNTIF(H15,{"*Piano*"})),"energetic",IF(SUM(COUNTIF(H15,{"*EDM*"})),"energetic",IF(H15="","","")))))))</f>
        <v/>
      </c>
      <c r="T15">
        <f t="array" ref="T15">IF(SUM(COUNTIF(H15,{"*Tech*";"*EDM*";"*Indie*";"*Deep*";"*Piano*";"*Slap*";"*Brazilian Bass*"})),"Song would perfectly fit in any dance mood playlist! Label will invest up to 5000 EUR advertising on facebook and instagram ads aswell as promoting it over label and label partners playlists, radio stations and press.",IF(SUM(COUNTIF(H15,{"*Lo-Fi*"})),"Song would perfectly fit in any Lo-Fi mood playlist! Label will invest up to 5000 EUR advertising on facebook and instagram ads aswell as promoting it over label and label partners playlists, radio stations and press.",IF(H15="","","")))</f>
        <v/>
      </c>
      <c r="U15">
        <f>IF(N15="Cover","SGL",IF(N15="Radio","SGL",IF(N15="Remix","RMX",IF(N15="","","SGL"))))</f>
        <v/>
      </c>
      <c r="V15">
        <f>IF(L15="Floating Blue Records","Instrumental only",IF(L15="Day Dose Of House","Electronic, Dance, Deep House",""))</f>
        <v/>
      </c>
      <c r="X15">
        <f t="array" aca="1" ref="X15" ca="1">+IF(H15="LO-FI","",IFERROR(INDEX(INDIRECT((_xlfn.XLOOKUP(H15,map_location[Genre],map_location[location]))),RANK(INDIRECT((_xlfn.XLOOKUP(H15,map_location[Genre],map_location[min])),FALSE),INDIRECT((_xlfn.XLOOKUP(H15,map_location[Genre],map_location[rand]))),1)),""))</f>
        <v/>
      </c>
      <c r="Y15">
        <f t="array" ref="Y15">IF(SUM(COUNTIF(H15,{"*Deep*";"*Bass*";"*Slap*"})),"**Deep House**House**Dance**",IF(SUM(COUNTIF(H15,{"*Lo-Fi*"})),"**Lo-Fi Pop**Lo-Fi Beats**Lo-Fi**",IF(SUM(COUNTIF(H15,{"*Tech*"})),"**Deep House**Tech House**Dance**",IF(SUM(COUNTIF(H15,{"*Indie/Chill Dance*"})),"**Indie Dance**Indie Electronic**Dance Pop**",IF(SUM(COUNTIF(H15,{"*Piano*"})),"**House**Electro house**Melodic House**",IF(SUM(COUNTIF(H15,{"*EDM*"})),"**EDM**Electro house**Dance Pop**",IF(H15="","","")))))))</f>
        <v/>
      </c>
      <c r="Z15">
        <f t="array" ref="Z15">IF(SUM(COUNTIF(H15,{"*Deep*";"*Bass*";"*Slap*"})),"Energetic,Happy",IF(SUM(COUNTIF(H15,{"*Lo-Fi*"})),"Romantic,Chill",IF(SUM(COUNTIF(H15,{"*Tech*"})),"Energetic,Happy",IF(SUM(COUNTIF(H15,{"*Indie/Chill Dance*"})),"Energetic,Chill",IF(SUM(COUNTIF(H15,{"*Piano*"})),"Energetic,Happy",IF(SUM(COUNTIF(H15,{"*EDM*"})),"Energetic,Happy",IF(H15="","","")))))))</f>
        <v/>
      </c>
      <c r="AA15">
        <f t="array" ref="AA15">IF(SUM(COUNTIF(H15,{"*Deep*";"*Bass*";"*Slap*"})),"None of these",IF(SUM(COUNTIF(H15,{"*Lo-Fi*"})),"Holiday,Beats",IF(SUM(COUNTIF(H15,{"*Tech*"})),"None of these",IF(SUM(COUNTIF(H15,{"*Indie/Chill Dance*"})),"None of these",IF(SUM(COUNTIF(H15,{"*Piano*"})),"None of these",IF(SUM(COUNTIF(H15,{"*EDM*"})),"None of these",IF(H15="","","")))))))</f>
        <v/>
      </c>
      <c r="AB15">
        <f t="array" ref="AB15">IF(SUM(COUNTIF(H15,{"*Deep*";"*Bass*";"*Slap*"})),"Samples,Synthesizer,Bass Guitar,Piano,Drum Kit,Electric Guitar",IF(SUM(COUNTIF(H15,{"*Lo-Fi*"})),"Samples,Synthesizer,Bass Guitar,Piano,Drum Kit,Electric Guitar",IF(SUM(COUNTIF(H15,{"*Tech*"})),"Samples,Synthesizer,Bass Guitar,Piano,Drum Kit,Electric Guitar",IF(SUM(COUNTIF(H15,{"*Indie/Chill Dance*"})),"Samples,Synthesizer,Bass Guitar,Piano,Drum Kit,Electric Guitar",IF(SUM(COUNTIF(H15,{"*Piano*"})),"Samples,Synthesizer,Bass Guitar,Piano,Drum Kit,Electric Guitar",IF(SUM(COUNTIF(H15,{"*EDM*"})),"Samples,Synthesizer,Bass Guitar,Piano,Drum Kit,Electric Guitar",IF(H15="","","")))))))</f>
        <v/>
      </c>
      <c r="AC15">
        <f t="array" ref="AC15">IF(N15="Cover","Yes",IF(SUM(COUNTIF(N15,{"*Radio/Extended*";"*Radio*";"*Remix*"})),"No",""))</f>
        <v/>
      </c>
      <c r="AD15">
        <f t="array" ref="AD15">IF(N15="Remix","Yes",IF(SUM(COUNTIF(N15,{"*Radio/Extended*";"*Radio*";"*Cover*"})),"No",""))</f>
        <v/>
      </c>
      <c r="AE15">
        <f>IF(ISTEXT(A15),"**English**","")</f>
        <v/>
      </c>
      <c r="AF15">
        <f t="array" aca="1" ref="AF15" ca="1">+TRIM(SUBSTITUTE(SUBSTITUTE(SUBSTITUTE(SUBSTITUTE(IFERROR(AO15&amp;" "&amp;+_xlfn.XLOOKUP(((SUM(LEN(AN15))-SUM(LEN(SUBSTITUTE(AN15,",",""))))/LEN(",")+1)&amp;H15,AV:AV&amp;AW:AW,AY:AY)&amp;CHAR(34)&amp;B15&amp;CHAR(34)&amp;"!"&amp;_xlfn.XLOOKUP(H15,text_list[Genre],text_list[Type based on genre]&amp;text_list[Label]),""),"Second",AP15),"Third",AQ15),"Forth",AR15),"Fifth",AS15&amp;" "))</f>
        <v/>
      </c>
      <c r="AI15">
        <f t="array" ref="AI15">IF(SUM(COUNTIF(H15,{"*Deep*";"*Bass*";"*Slap*"})),"**Tiësto**Imanbek**",IF(SUM(COUNTIF(H15,{"*Lo-Fi*"})),"**L.Dre**Yasumu**",IF(SUM(COUNTIF(H15,{"*Tech*"})),"**Mau P**Gorgon City**",IF(SUM(COUNTIF(H15,{"*Indie/Chill Dance*"})),"**Felix Jaehn**Lost Frequencies**",IF(SUM(COUNTIF(H15,{"*Piano*"})),"**Avicii**Eric Prydz**",IF(SUM(COUNTIF(H15,{"*EDM*"})),"**David Guetta**Swedish House Mafia**",IF(H15="","","")))))))</f>
        <v/>
      </c>
      <c r="AJ15">
        <f t="array" aca="1" ref="AJ15" ca="1">+IFERROR(INDEX(INDIRECT((_xlfn.XLOOKUP(H15,map_country[Genre],map_country[country]))),RANK(INDIRECT((_xlfn.XLOOKUP(H15,map_country[Genre],map_country[min])),FALSE),INDIRECT((_xlfn.XLOOKUP(H15,map_country[Genre],map_country[rand]))),1)),"")</f>
        <v/>
      </c>
      <c r="AN15" s="20">
        <f>TRIM(SUBSTITUTE(SUBSTITUTE(SUBSTITUTE(A20,"&amp;",","),"feat",","),".",""))</f>
        <v/>
      </c>
      <c r="AO15" s="20">
        <f>IFERROR(_xlfn.TEXTBEFORE(AN15,","),AN15)</f>
        <v/>
      </c>
      <c r="AP15" s="20">
        <f>IFERROR(TRIM(SUBSTITUTE(SUBSTITUTE(SUBSTITUTE(SUBSTITUTE(_xlfn.TEXTAFTER(AN15,",",1),AQ15,""),AR15,""),AS15,""),",","")),"")</f>
        <v/>
      </c>
      <c r="AQ15" s="20">
        <f>IFERROR(SUBSTITUTE(SUBSTITUTE(SUBSTITUTE(_xlfn.TEXTAFTER(AN15,",",2),AR15,""),",",""),AS15,""),"")</f>
        <v/>
      </c>
      <c r="AR15" s="20">
        <f>IFERROR(SUBSTITUTE(SUBSTITUTE(_xlfn.TEXTAFTER(AN15,",",3),AS15,""),",",""),"")</f>
        <v/>
      </c>
      <c r="AS15" s="20">
        <f>IFERROR(_xlfn.TEXTAFTER(AN15,",",4),"")</f>
        <v/>
      </c>
      <c r="AV15" s="11" t="n">
        <v>4</v>
      </c>
      <c r="AW15" s="9" t="inlineStr">
        <is>
          <t>Piano House</t>
        </is>
      </c>
      <c r="AX15" s="12" t="inlineStr">
        <is>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15">
        <f>+_xlfn.TEXTBEFORE(text_list[[#This Row],[Text]],"''''!",,0)</f>
        <v/>
      </c>
      <c r="AZ15">
        <f>+_xlfn.TEXTBEFORE(_xlfn.TEXTAFTER(text_list[[#This Row],[Text]],"'''!"),"Label")</f>
        <v/>
      </c>
      <c r="BA15">
        <f>+_xlfn.TEXTAFTER(text_list[[#This Row],[Text]],text_list[[#This Row],[Type based on genre]])</f>
        <v/>
      </c>
      <c r="BB15" t="inlineStr">
        <is>
          <t xml:space="preserve"> </t>
        </is>
      </c>
      <c r="BH15" t="inlineStr">
        <is>
          <t>EDM</t>
        </is>
      </c>
      <c r="BI15" t="inlineStr">
        <is>
          <t>edm[rand]</t>
        </is>
      </c>
      <c r="BJ15" t="inlineStr">
        <is>
          <t>edm[location]</t>
        </is>
      </c>
      <c r="BK15">
        <f>+map_location[[#This Row],[rand]]</f>
        <v/>
      </c>
      <c r="BL15">
        <f>"R"&amp;ROW(CF3)&amp;"C"&amp;COLUMN(CF3)</f>
        <v/>
      </c>
      <c r="BM15">
        <f>"R"&amp;ROW(CF4)&amp;"C"&amp;COLUMN(CF4)</f>
        <v/>
      </c>
      <c r="BN15">
        <f>"R"&amp;ROW(CF5)&amp;"C"&amp;COLUMN(CF5)</f>
        <v/>
      </c>
    </row>
    <row r="16">
      <c r="A16" t="inlineStr">
        <is>
          <t>Brandon Study, flywtwo</t>
        </is>
      </c>
      <c r="B16" t="inlineStr">
        <is>
          <t>White Shadows</t>
        </is>
      </c>
      <c r="C16" t="inlineStr">
        <is>
          <t>Latvia</t>
        </is>
      </c>
      <c r="D16" t="inlineStr">
        <is>
          <t>February 10th, 2023</t>
        </is>
      </c>
      <c r="E16" t="inlineStr">
        <is>
          <t>10.02.2023</t>
        </is>
      </c>
      <c r="F16" s="3" t="n">
        <v>5063248034799</v>
      </c>
      <c r="G16" t="inlineStr">
        <is>
          <t>GX89G2347015</t>
        </is>
      </c>
      <c r="H16" s="7" t="inlineStr">
        <is>
          <t>Lo-Fi</t>
        </is>
      </c>
      <c r="I16" t="inlineStr">
        <is>
          <t>2</t>
        </is>
      </c>
      <c r="J16" t="inlineStr">
        <is>
          <t>26</t>
        </is>
      </c>
      <c r="K16" t="inlineStr">
        <is>
          <t>https://soundcloud.com/floatingbluerecords/brandon-study-flywtwo-white-shadows/s-6Tw8OaX2imv?si=9e010c7aa5ea421abc3a316204139d1b&amp;utm_source=clipboard&amp;utm_medium=text&amp;utm_campaign=social_sharing</t>
        </is>
      </c>
      <c r="L16" t="inlineStr">
        <is>
          <t>Floating Blue Records</t>
        </is>
      </c>
      <c r="M16" t="n">
        <v>2</v>
      </c>
      <c r="N16" t="inlineStr">
        <is>
          <t>Radio</t>
        </is>
      </c>
      <c r="O16">
        <f>IF(N16="Remix","Citas:Remix",IF(N16="Cover","Citas:Cover",IF(N16="Radio","Single",IF(N16="Radio/Extended","Single",""))))</f>
        <v/>
      </c>
      <c r="P16">
        <f>IF(M16=1,"High_Priority",IF(M16=2,"Priority",IF(M16=3,"General_Release",IF(M16=4,"General_Release",IF(M16="","")))))</f>
        <v/>
      </c>
      <c r="Q16">
        <f>IF(N16="Remix","Citas:Remix",IF(N16="Cover","Citas:Cover",IF(N16="Radio","Single",IF(N16="Radio/Extended","Single",""))))</f>
        <v/>
      </c>
      <c r="R16">
        <f t="array" ref="R16">IF(SUM(COUNTIF(H16,{"*Deep*";"*Bass*";"*Slap*"})),"Citas:Deep House",IF(SUM(COUNTIF(H16,{"*Lo-Fi*"})),"Citas:Lo-Fi",IF(SUM(COUNTIF(H16,{"*Tech*"})),"Citas:Tech House",IF(SUM(COUNTIF(H16,{"*Indie/Chill Dance*"})),"Citas:Indie/Chill Dance",IF(SUM(COUNTIF(H16,{"*Piano*"})),"Citas:Piano House",IF(SUM(COUNTIF(H16,{"*EDM*"})),"edm dance",IF(H16="","","")))))))</f>
        <v/>
      </c>
      <c r="S16">
        <f t="array" ref="S16">IF(SUM(COUNTIF(H16,{"*Deep*";"*Bass*";"*Slap*"})),"energetic",IF(SUM(COUNTIF(H16,{"*Lo-Fi*"})),"calm",IF(SUM(COUNTIF(H16,{"*Tech*"})),"energetic",IF(SUM(COUNTIF(H16,{"*Indie/Chill Dance*"})),"chillout",IF(SUM(COUNTIF(H16,{"*Piano*"})),"energetic",IF(SUM(COUNTIF(H16,{"*EDM*"})),"energetic",IF(H16="","","")))))))</f>
        <v/>
      </c>
      <c r="T16">
        <f t="array" ref="T16">IF(SUM(COUNTIF(H16,{"*Tech*";"*EDM*";"*Indie*";"*Deep*";"*Piano*";"*Slap*";"*Brazilian Bass*"})),"Song would perfectly fit in any dance mood playlist! Label will invest up to 5000 EUR advertising on facebook and instagram ads aswell as promoting it over label and label partners playlists, radio stations and press.",IF(SUM(COUNTIF(H16,{"*Lo-Fi*"})),"Song would perfectly fit in any Lo-Fi mood playlist! Label will invest up to 5000 EUR advertising on facebook and instagram ads aswell as promoting it over label and label partners playlists, radio stations and press.",IF(H16="","","")))</f>
        <v/>
      </c>
      <c r="U16">
        <f>IF(N16="Cover","SGL",IF(N16="Radio","SGL",IF(N16="Remix","RMX",IF(N16="","","SGL"))))</f>
        <v/>
      </c>
      <c r="V16">
        <f>IF(L16="Floating Blue Records","Instrumental only",IF(L16="Day Dose Of House","Electronic, Dance, Deep House",""))</f>
        <v/>
      </c>
      <c r="X16">
        <f t="array" aca="1" ref="X16" ca="1">+IF(H16="LO-FI","",IFERROR(INDEX(INDIRECT((_xlfn.XLOOKUP(H16,map_location[Genre],map_location[location]))),RANK(INDIRECT((_xlfn.XLOOKUP(H16,map_location[Genre],map_location[min])),FALSE),INDIRECT((_xlfn.XLOOKUP(H16,map_location[Genre],map_location[rand]))),1)),""))</f>
        <v/>
      </c>
      <c r="Y16">
        <f t="array" ref="Y16">IF(SUM(COUNTIF(H16,{"*Deep*";"*Bass*";"*Slap*"})),"**Deep House**House**Dance**",IF(SUM(COUNTIF(H16,{"*Lo-Fi*"})),"**Lo-Fi Pop**Lo-Fi Beats**Lo-Fi**",IF(SUM(COUNTIF(H16,{"*Tech*"})),"**Deep House**Tech House**Dance**",IF(SUM(COUNTIF(H16,{"*Indie/Chill Dance*"})),"**Indie Dance**Indie Electronic**Dance Pop**",IF(SUM(COUNTIF(H16,{"*Piano*"})),"**House**Electro house**Melodic House**",IF(SUM(COUNTIF(H16,{"*EDM*"})),"**EDM**Electro house**Dance Pop**",IF(H16="","","")))))))</f>
        <v/>
      </c>
      <c r="Z16">
        <f t="array" ref="Z16">IF(SUM(COUNTIF(H16,{"*Deep*";"*Bass*";"*Slap*"})),"Energetic,Happy",IF(SUM(COUNTIF(H16,{"*Lo-Fi*"})),"Romantic,Chill",IF(SUM(COUNTIF(H16,{"*Tech*"})),"Energetic,Happy",IF(SUM(COUNTIF(H16,{"*Indie/Chill Dance*"})),"Energetic,Chill",IF(SUM(COUNTIF(H16,{"*Piano*"})),"Energetic,Happy",IF(SUM(COUNTIF(H16,{"*EDM*"})),"Energetic,Happy",IF(H16="","","")))))))</f>
        <v/>
      </c>
      <c r="AA16">
        <f t="array" ref="AA16">IF(SUM(COUNTIF(H16,{"*Deep*";"*Bass*";"*Slap*"})),"None of these",IF(SUM(COUNTIF(H16,{"*Lo-Fi*"})),"Holiday,Beats",IF(SUM(COUNTIF(H16,{"*Tech*"})),"None of these",IF(SUM(COUNTIF(H16,{"*Indie/Chill Dance*"})),"None of these",IF(SUM(COUNTIF(H16,{"*Piano*"})),"None of these",IF(SUM(COUNTIF(H16,{"*EDM*"})),"None of these",IF(H16="","","")))))))</f>
        <v/>
      </c>
      <c r="AB16">
        <f t="array" ref="AB16">IF(SUM(COUNTIF(H16,{"*Deep*";"*Bass*";"*Slap*"})),"Samples,Synthesizer,Bass Guitar,Piano,Drum Kit,Electric Guitar",IF(SUM(COUNTIF(H16,{"*Lo-Fi*"})),"Samples,Synthesizer,Bass Guitar,Piano,Drum Kit,Electric Guitar",IF(SUM(COUNTIF(H16,{"*Tech*"})),"Samples,Synthesizer,Bass Guitar,Piano,Drum Kit,Electric Guitar",IF(SUM(COUNTIF(H16,{"*Indie/Chill Dance*"})),"Samples,Synthesizer,Bass Guitar,Piano,Drum Kit,Electric Guitar",IF(SUM(COUNTIF(H16,{"*Piano*"})),"Samples,Synthesizer,Bass Guitar,Piano,Drum Kit,Electric Guitar",IF(SUM(COUNTIF(H16,{"*EDM*"})),"Samples,Synthesizer,Bass Guitar,Piano,Drum Kit,Electric Guitar",IF(H16="","","")))))))</f>
        <v/>
      </c>
      <c r="AC16">
        <f t="array" ref="AC16">IF(N16="Cover","Yes",IF(SUM(COUNTIF(N16,{"*Radio/Extended*";"*Radio*";"*Remix*"})),"No",""))</f>
        <v/>
      </c>
      <c r="AD16">
        <f t="array" ref="AD16">IF(N16="Remix","Yes",IF(SUM(COUNTIF(N16,{"*Radio/Extended*";"*Radio*";"*Cover*"})),"No",""))</f>
        <v/>
      </c>
      <c r="AE16">
        <f>IF(ISTEXT(A16),"**English**","")</f>
        <v/>
      </c>
      <c r="AF16">
        <f t="array" aca="1" ref="AF16" ca="1">+TRIM(SUBSTITUTE(SUBSTITUTE(SUBSTITUTE(SUBSTITUTE(IFERROR(AO16&amp;" "&amp;+_xlfn.XLOOKUP(((SUM(LEN(AN16))-SUM(LEN(SUBSTITUTE(AN16,",",""))))/LEN(",")+1)&amp;H16,AV:AV&amp;AW:AW,AY:AY)&amp;CHAR(34)&amp;B16&amp;CHAR(34)&amp;"!"&amp;_xlfn.XLOOKUP(H16,text_list[Genre],text_list[Type based on genre]&amp;text_list[Label]),""),"Second",AP16),"Third",AQ16),"Forth",AR16),"Fifth",AS16&amp;" "))</f>
        <v/>
      </c>
      <c r="AH16">
        <f>IF(N21="Remix","Remix",IF(N21="Cover","Cover",IF(N21="Radio","Single",IF(N21="Radio/Extended","Original",""))))</f>
        <v/>
      </c>
      <c r="AI16">
        <f t="array" ref="AI16">IF(SUM(COUNTIF(H16,{"*Deep*";"*Bass*";"*Slap*"})),"**Tiësto**Imanbek**",IF(SUM(COUNTIF(H16,{"*Lo-Fi*"})),"**L.Dre**Yasumu**",IF(SUM(COUNTIF(H16,{"*Tech*"})),"**Mau P**Gorgon City**",IF(SUM(COUNTIF(H16,{"*Indie/Chill Dance*"})),"**Felix Jaehn**Lost Frequencies**",IF(SUM(COUNTIF(H16,{"*Piano*"})),"**Avicii**Eric Prydz**",IF(SUM(COUNTIF(H16,{"*EDM*"})),"**David Guetta**Swedish House Mafia**",IF(H16="","","")))))))</f>
        <v/>
      </c>
      <c r="AJ16">
        <f t="array" aca="1" ref="AJ16" ca="1">+IFERROR(INDEX(INDIRECT((_xlfn.XLOOKUP(H16,map_country[Genre],map_country[country]))),RANK(INDIRECT((_xlfn.XLOOKUP(H16,map_country[Genre],map_country[min])),FALSE),INDIRECT((_xlfn.XLOOKUP(H16,map_country[Genre],map_country[rand]))),1)),"")</f>
        <v/>
      </c>
      <c r="AN16" s="20">
        <f>TRIM(SUBSTITUTE(SUBSTITUTE(SUBSTITUTE(A21,"&amp;",","),"feat",","),".",""))</f>
        <v/>
      </c>
      <c r="AO16" s="20">
        <f>IFERROR(_xlfn.TEXTBEFORE(AN16,","),AN16)</f>
        <v/>
      </c>
      <c r="AP16" s="20">
        <f>IFERROR(TRIM(SUBSTITUTE(SUBSTITUTE(SUBSTITUTE(SUBSTITUTE(_xlfn.TEXTAFTER(AN16,",",1),AQ16,""),AR16,""),AS16,""),",","")),"")</f>
        <v/>
      </c>
      <c r="AQ16" s="20">
        <f>IFERROR(SUBSTITUTE(SUBSTITUTE(SUBSTITUTE(_xlfn.TEXTAFTER(AN16,",",2),AR16,""),",",""),AS16,""),"")</f>
        <v/>
      </c>
      <c r="AR16" s="20">
        <f>IFERROR(SUBSTITUTE(SUBSTITUTE(_xlfn.TEXTAFTER(AN16,",",3),AS16,""),",",""),"")</f>
        <v/>
      </c>
      <c r="AS16" s="20">
        <f>IFERROR(_xlfn.TEXTAFTER(AN16,",",4),"")</f>
        <v/>
      </c>
      <c r="AV16" s="11" t="n">
        <v>5</v>
      </c>
      <c r="AW16" s="9" t="inlineStr">
        <is>
          <t>Piano House</t>
        </is>
      </c>
      <c r="AX16" s="12" t="inlineStr">
        <is>
          <t>teamed up with Second, Third, Forth, and Fifth to deliver this energetic tune called ''''! Song would perfectly fit in any dance mood playlist! Label will invest up to 5000 EUR advertising on facebook and instagram ads aswell as promoting it over label and label partners playlists, radio stations and press.</t>
        </is>
      </c>
      <c r="AY16">
        <f>+_xlfn.TEXTBEFORE(text_list[[#This Row],[Text]],"''''!",,0)</f>
        <v/>
      </c>
      <c r="AZ16">
        <f>+_xlfn.TEXTBEFORE(_xlfn.TEXTAFTER(text_list[[#This Row],[Text]],"'''!"),"Label")</f>
        <v/>
      </c>
      <c r="BA16">
        <f>+_xlfn.TEXTAFTER(text_list[[#This Row],[Text]],text_list[[#This Row],[Type based on genre]])</f>
        <v/>
      </c>
      <c r="BB16" t="inlineStr">
        <is>
          <t xml:space="preserve"> </t>
        </is>
      </c>
    </row>
    <row r="17">
      <c r="A17" t="inlineStr">
        <is>
          <t>Brandon Study, flywtwo</t>
        </is>
      </c>
      <c r="B17" t="inlineStr">
        <is>
          <t>White Shadows</t>
        </is>
      </c>
      <c r="C17" t="inlineStr">
        <is>
          <t>Latvia</t>
        </is>
      </c>
      <c r="D17" t="inlineStr">
        <is>
          <t>February 10th, 2023</t>
        </is>
      </c>
      <c r="E17" t="inlineStr">
        <is>
          <t>10.02.2023</t>
        </is>
      </c>
      <c r="F17" s="3" t="n">
        <v>5063248034799</v>
      </c>
      <c r="G17" t="inlineStr">
        <is>
          <t>GX89G2347015</t>
        </is>
      </c>
      <c r="H17" s="7" t="inlineStr">
        <is>
          <t>Lo-Fi</t>
        </is>
      </c>
      <c r="I17" t="inlineStr">
        <is>
          <t>2</t>
        </is>
      </c>
      <c r="J17" t="inlineStr">
        <is>
          <t>26</t>
        </is>
      </c>
      <c r="K17" t="inlineStr">
        <is>
          <t>https://soundcloud.com/floatingbluerecords/brandon-study-flywtwo-white-shadows/s-6Tw8OaX2imv?si=9e010c7aa5ea421abc3a316204139d1b&amp;utm_source=clipboard&amp;utm_medium=text&amp;utm_campaign=social_sharing</t>
        </is>
      </c>
      <c r="L17" t="inlineStr">
        <is>
          <t>Floating Blue Records</t>
        </is>
      </c>
      <c r="M17" t="n">
        <v>2</v>
      </c>
      <c r="N17" t="inlineStr">
        <is>
          <t>Radio</t>
        </is>
      </c>
      <c r="O17">
        <f>IF(N17="Remix","Citas:Remix",IF(N17="Cover","Citas:Cover",IF(N17="Radio","Single",IF(N17="Radio/Extended","Single",""))))</f>
        <v/>
      </c>
      <c r="P17">
        <f>IF(M17=1,"High_Priority",IF(M17=2,"Priority",IF(M17=3,"General_Release",IF(M17=4,"General_Release",IF(M17="","")))))</f>
        <v/>
      </c>
      <c r="Q17">
        <f>IF(N17="Remix","Citas:Remix",IF(N17="Cover","Citas:Cover",IF(N17="Radio","Single",IF(N17="Radio/Extended","Single",""))))</f>
        <v/>
      </c>
      <c r="R17">
        <f t="array" ref="R17">IF(SUM(COUNTIF(H17,{"*Deep*";"*Bass*";"*Slap*"})),"Citas:Deep House",IF(SUM(COUNTIF(H17,{"*Lo-Fi*"})),"Citas:Lo-Fi",IF(SUM(COUNTIF(H17,{"*Tech*"})),"Citas:Tech House",IF(SUM(COUNTIF(H17,{"*Indie/Chill Dance*"})),"Citas:Indie/Chill Dance",IF(SUM(COUNTIF(H17,{"*Piano*"})),"Citas:Piano House",IF(SUM(COUNTIF(H17,{"*EDM*"})),"edm dance",IF(H17="","","")))))))</f>
        <v/>
      </c>
      <c r="S17">
        <f t="array" ref="S17">IF(SUM(COUNTIF(H17,{"*Deep*";"*Bass*";"*Slap*"})),"energetic",IF(SUM(COUNTIF(H17,{"*Lo-Fi*"})),"calm",IF(SUM(COUNTIF(H17,{"*Tech*"})),"energetic",IF(SUM(COUNTIF(H17,{"*Indie/Chill Dance*"})),"chillout",IF(SUM(COUNTIF(H17,{"*Piano*"})),"energetic",IF(SUM(COUNTIF(H17,{"*EDM*"})),"energetic",IF(H17="","","")))))))</f>
        <v/>
      </c>
      <c r="T17">
        <f t="array" ref="T17">IF(SUM(COUNTIF(H17,{"*Tech*";"*EDM*";"*Indie*";"*Deep*";"*Piano*";"*Slap*";"*Brazilian Bass*"})),"Song would perfectly fit in any dance mood playlist! Label will invest up to 5000 EUR advertising on facebook and instagram ads aswell as promoting it over label and label partners playlists, radio stations and press.",IF(SUM(COUNTIF(H17,{"*Lo-Fi*"})),"Song would perfectly fit in any Lo-Fi mood playlist! Label will invest up to 5000 EUR advertising on facebook and instagram ads aswell as promoting it over label and label partners playlists, radio stations and press.",IF(H17="","","")))</f>
        <v/>
      </c>
      <c r="U17">
        <f>IF(N17="Cover","SGL",IF(N17="Radio","SGL",IF(N17="Remix","RMX",IF(N17="","","SGL"))))</f>
        <v/>
      </c>
      <c r="V17">
        <f>IF(L17="Floating Blue Records","Instrumental only",IF(L17="Day Dose Of House","Electronic, Dance, Deep House",""))</f>
        <v/>
      </c>
      <c r="X17">
        <f t="array" aca="1" ref="X17" ca="1">+IF(H17="LO-FI","",IFERROR(INDEX(INDIRECT((_xlfn.XLOOKUP(H17,map_location[Genre],map_location[location]))),RANK(INDIRECT((_xlfn.XLOOKUP(H17,map_location[Genre],map_location[min])),FALSE),INDIRECT((_xlfn.XLOOKUP(H17,map_location[Genre],map_location[rand]))),1)),""))</f>
        <v/>
      </c>
      <c r="Y17">
        <f t="array" ref="Y17">IF(SUM(COUNTIF(H17,{"*Deep*";"*Bass*";"*Slap*"})),"**Deep House**House**Dance**",IF(SUM(COUNTIF(H17,{"*Lo-Fi*"})),"**Lo-Fi Pop**Lo-Fi Beats**Lo-Fi**",IF(SUM(COUNTIF(H17,{"*Tech*"})),"**Deep House**Tech House**Dance**",IF(SUM(COUNTIF(H17,{"*Indie/Chill Dance*"})),"**Indie Dance**Indie Electronic**Dance Pop**",IF(SUM(COUNTIF(H17,{"*Piano*"})),"**House**Electro house**Melodic House**",IF(SUM(COUNTIF(H17,{"*EDM*"})),"**EDM**Electro house**Dance Pop**",IF(H17="","","")))))))</f>
        <v/>
      </c>
      <c r="Z17">
        <f t="array" ref="Z17">IF(SUM(COUNTIF(H17,{"*Deep*";"*Bass*";"*Slap*"})),"Energetic,Happy",IF(SUM(COUNTIF(H17,{"*Lo-Fi*"})),"Romantic,Chill",IF(SUM(COUNTIF(H17,{"*Tech*"})),"Energetic,Happy",IF(SUM(COUNTIF(H17,{"*Indie/Chill Dance*"})),"Energetic,Chill",IF(SUM(COUNTIF(H17,{"*Piano*"})),"Energetic,Happy",IF(SUM(COUNTIF(H17,{"*EDM*"})),"Energetic,Happy",IF(H17="","","")))))))</f>
        <v/>
      </c>
      <c r="AA17">
        <f t="array" ref="AA17">IF(SUM(COUNTIF(H17,{"*Deep*";"*Bass*";"*Slap*"})),"None of these",IF(SUM(COUNTIF(H17,{"*Lo-Fi*"})),"Holiday,Beats",IF(SUM(COUNTIF(H17,{"*Tech*"})),"None of these",IF(SUM(COUNTIF(H17,{"*Indie/Chill Dance*"})),"None of these",IF(SUM(COUNTIF(H17,{"*Piano*"})),"None of these",IF(SUM(COUNTIF(H17,{"*EDM*"})),"None of these",IF(H17="","","")))))))</f>
        <v/>
      </c>
      <c r="AB17">
        <f t="array" ref="AB17">IF(SUM(COUNTIF(H17,{"*Deep*";"*Bass*";"*Slap*"})),"Samples,Synthesizer,Bass Guitar,Piano,Drum Kit,Electric Guitar",IF(SUM(COUNTIF(H17,{"*Lo-Fi*"})),"Samples,Synthesizer,Bass Guitar,Piano,Drum Kit,Electric Guitar",IF(SUM(COUNTIF(H17,{"*Tech*"})),"Samples,Synthesizer,Bass Guitar,Piano,Drum Kit,Electric Guitar",IF(SUM(COUNTIF(H17,{"*Indie/Chill Dance*"})),"Samples,Synthesizer,Bass Guitar,Piano,Drum Kit,Electric Guitar",IF(SUM(COUNTIF(H17,{"*Piano*"})),"Samples,Synthesizer,Bass Guitar,Piano,Drum Kit,Electric Guitar",IF(SUM(COUNTIF(H17,{"*EDM*"})),"Samples,Synthesizer,Bass Guitar,Piano,Drum Kit,Electric Guitar",IF(H17="","","")))))))</f>
        <v/>
      </c>
      <c r="AC17">
        <f t="array" ref="AC17">IF(N17="Cover","Yes",IF(SUM(COUNTIF(N17,{"*Radio/Extended*";"*Radio*";"*Remix*"})),"No",""))</f>
        <v/>
      </c>
      <c r="AD17">
        <f t="array" ref="AD17">IF(N17="Remix","Yes",IF(SUM(COUNTIF(N17,{"*Radio/Extended*";"*Radio*";"*Cover*"})),"No",""))</f>
        <v/>
      </c>
      <c r="AE17">
        <f>IF(ISTEXT(A17),"**English**","")</f>
        <v/>
      </c>
      <c r="AF17">
        <f t="array" aca="1" ref="AF17" ca="1">+TRIM(SUBSTITUTE(SUBSTITUTE(SUBSTITUTE(SUBSTITUTE(IFERROR(AO17&amp;" "&amp;+_xlfn.XLOOKUP(((SUM(LEN(AN17))-SUM(LEN(SUBSTITUTE(AN17,",",""))))/LEN(",")+1)&amp;H17,AV:AV&amp;AW:AW,AY:AY)&amp;CHAR(34)&amp;B17&amp;CHAR(34)&amp;"!"&amp;_xlfn.XLOOKUP(H17,text_list[Genre],text_list[Type based on genre]&amp;text_list[Label]),""),"Second",AP17),"Third",AQ17),"Forth",AR17),"Fifth",AS17&amp;" "))</f>
        <v/>
      </c>
      <c r="AH17">
        <f>IF(N22="Remix","Remix",IF(N22="Cover","Cover",IF(N22="Radio","Single",IF(N22="Radio/Extended","Original",""))))</f>
        <v/>
      </c>
      <c r="AI17">
        <f t="array" ref="AI17">IF(SUM(COUNTIF(H17,{"*Deep*";"*Bass*";"*Slap*"})),"**Tiësto**Imanbek**",IF(SUM(COUNTIF(H17,{"*Lo-Fi*"})),"**L.Dre**Yasumu**",IF(SUM(COUNTIF(H17,{"*Tech*"})),"**Mau P**Gorgon City**",IF(SUM(COUNTIF(H17,{"*Indie/Chill Dance*"})),"**Felix Jaehn**Lost Frequencies**",IF(SUM(COUNTIF(H17,{"*Piano*"})),"**Avicii**Eric Prydz**",IF(SUM(COUNTIF(H17,{"*EDM*"})),"**David Guetta**Swedish House Mafia**",IF(H17="","","")))))))</f>
        <v/>
      </c>
      <c r="AJ17">
        <f t="array" aca="1" ref="AJ17" ca="1">+IFERROR(INDEX(INDIRECT((_xlfn.XLOOKUP(H17,map_country[Genre],map_country[country]))),RANK(INDIRECT((_xlfn.XLOOKUP(H17,map_country[Genre],map_country[min])),FALSE),INDIRECT((_xlfn.XLOOKUP(H17,map_country[Genre],map_country[rand]))),1)),"")</f>
        <v/>
      </c>
      <c r="AN17" s="20">
        <f>TRIM(SUBSTITUTE(SUBSTITUTE(SUBSTITUTE(A22,"&amp;",","),"feat",","),".",""))</f>
        <v/>
      </c>
      <c r="AO17" s="20">
        <f>IFERROR(_xlfn.TEXTBEFORE(AN17,","),AN17)</f>
        <v/>
      </c>
      <c r="AP17" s="20">
        <f>IFERROR(TRIM(SUBSTITUTE(SUBSTITUTE(SUBSTITUTE(SUBSTITUTE(_xlfn.TEXTAFTER(AN17,",",1),AQ17,""),AR17,""),AS17,""),",","")),"")</f>
        <v/>
      </c>
      <c r="AQ17" s="20">
        <f>IFERROR(SUBSTITUTE(SUBSTITUTE(SUBSTITUTE(_xlfn.TEXTAFTER(AN17,",",2),AR17,""),",",""),AS17,""),"")</f>
        <v/>
      </c>
      <c r="AR17" s="20">
        <f>IFERROR(SUBSTITUTE(SUBSTITUTE(_xlfn.TEXTAFTER(AN17,",",3),AS17,""),",",""),"")</f>
        <v/>
      </c>
      <c r="AS17" s="20">
        <f>IFERROR(_xlfn.TEXTAFTER(AN17,",",4),"")</f>
        <v/>
      </c>
      <c r="AV17" s="11" t="n">
        <v>1</v>
      </c>
      <c r="AW17" s="8" t="inlineStr">
        <is>
          <t>Indie/Chill Dance</t>
        </is>
      </c>
      <c r="AX17" s="12" t="inlineStr">
        <is>
          <t>is back to deliver this indie/chill tune called ''''! Song would perfectly fit in any indie/chill mood playlist! Label will invest up to 5000 EUR advertising on facebook and instagram ads aswell as promoting it over label and label partners playlists, radio stations and press.</t>
        </is>
      </c>
      <c r="AY17">
        <f>+_xlfn.TEXTBEFORE(text_list[[#This Row],[Text]],"''''!",,0)</f>
        <v/>
      </c>
      <c r="AZ17">
        <f>+_xlfn.TEXTBEFORE(_xlfn.TEXTAFTER(text_list[[#This Row],[Text]],"'''!"),"Label")</f>
        <v/>
      </c>
      <c r="BA17">
        <f>+_xlfn.TEXTAFTER(text_list[[#This Row],[Text]],text_list[[#This Row],[Type based on genre]])</f>
        <v/>
      </c>
      <c r="BB17" t="inlineStr">
        <is>
          <t xml:space="preserve"> </t>
        </is>
      </c>
    </row>
    <row r="18">
      <c r="A18" t="inlineStr">
        <is>
          <t>Brandon Study, flywtwo</t>
        </is>
      </c>
      <c r="B18" t="inlineStr">
        <is>
          <t>White Shadows</t>
        </is>
      </c>
      <c r="C18" t="inlineStr">
        <is>
          <t>Latvia</t>
        </is>
      </c>
      <c r="D18" t="inlineStr">
        <is>
          <t>February 10th, 2023</t>
        </is>
      </c>
      <c r="E18" t="inlineStr">
        <is>
          <t>10.02.2023</t>
        </is>
      </c>
      <c r="F18" s="3" t="n">
        <v>5063248034799</v>
      </c>
      <c r="G18" t="inlineStr">
        <is>
          <t>GX89G2347015</t>
        </is>
      </c>
      <c r="H18" s="7" t="inlineStr">
        <is>
          <t>Lo-Fi</t>
        </is>
      </c>
      <c r="I18" t="inlineStr">
        <is>
          <t>2</t>
        </is>
      </c>
      <c r="J18" t="inlineStr">
        <is>
          <t>26</t>
        </is>
      </c>
      <c r="K18" t="inlineStr">
        <is>
          <t>https://soundcloud.com/floatingbluerecords/brandon-study-flywtwo-white-shadows/s-6Tw8OaX2imv?si=9e010c7aa5ea421abc3a316204139d1b&amp;utm_source=clipboard&amp;utm_medium=text&amp;utm_campaign=social_sharing</t>
        </is>
      </c>
      <c r="L18" t="inlineStr">
        <is>
          <t>Floating Blue Records</t>
        </is>
      </c>
      <c r="M18" t="n">
        <v>2</v>
      </c>
      <c r="N18" t="inlineStr">
        <is>
          <t>Radio</t>
        </is>
      </c>
      <c r="O18">
        <f>IF(N18="Remix","Citas:Remix",IF(N18="Cover","Citas:Cover",IF(N18="Radio","Single",IF(N18="Radio/Extended","Single",""))))</f>
        <v/>
      </c>
      <c r="P18">
        <f>IF(M18=1,"High_Priority",IF(M18=2,"Priority",IF(M18=3,"General_Release",IF(M18=4,"General_Release",IF(M18="","")))))</f>
        <v/>
      </c>
      <c r="Q18">
        <f>IF(N18="Remix","Citas:Remix",IF(N18="Cover","Citas:Cover",IF(N18="Radio","Single",IF(N18="Radio/Extended","Single",""))))</f>
        <v/>
      </c>
      <c r="R18">
        <f t="array" ref="R18">IF(SUM(COUNTIF(H18,{"*Deep*";"*Bass*";"*Slap*"})),"Citas:Deep House",IF(SUM(COUNTIF(H18,{"*Lo-Fi*"})),"Citas:Lo-Fi",IF(SUM(COUNTIF(H18,{"*Tech*"})),"Citas:Tech House",IF(SUM(COUNTIF(H18,{"*Indie/Chill Dance*"})),"Citas:Indie/Chill Dance",IF(SUM(COUNTIF(H18,{"*Piano*"})),"Citas:Piano House",IF(SUM(COUNTIF(H18,{"*EDM*"})),"edm dance",IF(H18="","","")))))))</f>
        <v/>
      </c>
      <c r="S18">
        <f t="array" ref="S18">IF(SUM(COUNTIF(H18,{"*Deep*";"*Bass*";"*Slap*"})),"energetic",IF(SUM(COUNTIF(H18,{"*Lo-Fi*"})),"calm",IF(SUM(COUNTIF(H18,{"*Tech*"})),"energetic",IF(SUM(COUNTIF(H18,{"*Indie/Chill Dance*"})),"chillout",IF(SUM(COUNTIF(H18,{"*Piano*"})),"energetic",IF(SUM(COUNTIF(H18,{"*EDM*"})),"energetic",IF(H18="","","")))))))</f>
        <v/>
      </c>
      <c r="T18">
        <f t="array" ref="T18">IF(SUM(COUNTIF(H18,{"*Tech*";"*EDM*";"*Indie*";"*Deep*";"*Piano*";"*Slap*";"*Brazilian Bass*"})),"Song would perfectly fit in any dance mood playlist! Label will invest up to 5000 EUR advertising on facebook and instagram ads aswell as promoting it over label and label partners playlists, radio stations and press.",IF(SUM(COUNTIF(H18,{"*Lo-Fi*"})),"Song would perfectly fit in any Lo-Fi mood playlist! Label will invest up to 5000 EUR advertising on facebook and instagram ads aswell as promoting it over label and label partners playlists, radio stations and press.",IF(H18="","","")))</f>
        <v/>
      </c>
      <c r="U18">
        <f>IF(N18="Cover","SGL",IF(N18="Radio","SGL",IF(N18="Remix","RMX",IF(N18="","","SGL"))))</f>
        <v/>
      </c>
      <c r="V18">
        <f>IF(L18="Floating Blue Records","Instrumental only",IF(L18="Day Dose Of House","Electronic, Dance, Deep House",""))</f>
        <v/>
      </c>
      <c r="X18">
        <f t="array" aca="1" ref="X18" ca="1">+IF(H18="LO-FI","",IFERROR(INDEX(INDIRECT((_xlfn.XLOOKUP(H18,map_location[Genre],map_location[location]))),RANK(INDIRECT((_xlfn.XLOOKUP(H18,map_location[Genre],map_location[min])),FALSE),INDIRECT((_xlfn.XLOOKUP(H18,map_location[Genre],map_location[rand]))),1)),""))</f>
        <v/>
      </c>
      <c r="Y18">
        <f t="array" ref="Y18">IF(SUM(COUNTIF(H18,{"*Deep*";"*Bass*";"*Slap*"})),"**Deep House**House**Dance**",IF(SUM(COUNTIF(H18,{"*Lo-Fi*"})),"**Lo-Fi Pop**Lo-Fi Beats**Lo-Fi**",IF(SUM(COUNTIF(H18,{"*Tech*"})),"**Deep House**Tech House**Dance**",IF(SUM(COUNTIF(H18,{"*Indie/Chill Dance*"})),"**Indie Dance**Indie Electronic**Dance Pop**",IF(SUM(COUNTIF(H18,{"*Piano*"})),"**House**Electro house**Melodic House**",IF(SUM(COUNTIF(H18,{"*EDM*"})),"**EDM**Electro house**Dance Pop**",IF(H18="","","")))))))</f>
        <v/>
      </c>
      <c r="Z18">
        <f t="array" ref="Z18">IF(SUM(COUNTIF(H18,{"*Deep*";"*Bass*";"*Slap*"})),"Energetic,Happy",IF(SUM(COUNTIF(H18,{"*Lo-Fi*"})),"Romantic,Chill",IF(SUM(COUNTIF(H18,{"*Tech*"})),"Energetic,Happy",IF(SUM(COUNTIF(H18,{"*Indie/Chill Dance*"})),"Energetic,Chill",IF(SUM(COUNTIF(H18,{"*Piano*"})),"Energetic,Happy",IF(SUM(COUNTIF(H18,{"*EDM*"})),"Energetic,Happy",IF(H18="","","")))))))</f>
        <v/>
      </c>
      <c r="AA18">
        <f t="array" ref="AA18">IF(SUM(COUNTIF(H18,{"*Deep*";"*Bass*";"*Slap*"})),"None of these",IF(SUM(COUNTIF(H18,{"*Lo-Fi*"})),"Holiday,Beats",IF(SUM(COUNTIF(H18,{"*Tech*"})),"None of these",IF(SUM(COUNTIF(H18,{"*Indie/Chill Dance*"})),"None of these",IF(SUM(COUNTIF(H18,{"*Piano*"})),"None of these",IF(SUM(COUNTIF(H18,{"*EDM*"})),"None of these",IF(H18="","","")))))))</f>
        <v/>
      </c>
      <c r="AB18">
        <f t="array" ref="AB18">IF(SUM(COUNTIF(H18,{"*Deep*";"*Bass*";"*Slap*"})),"Samples,Synthesizer,Bass Guitar,Piano,Drum Kit,Electric Guitar",IF(SUM(COUNTIF(H18,{"*Lo-Fi*"})),"Samples,Synthesizer,Bass Guitar,Piano,Drum Kit,Electric Guitar",IF(SUM(COUNTIF(H18,{"*Tech*"})),"Samples,Synthesizer,Bass Guitar,Piano,Drum Kit,Electric Guitar",IF(SUM(COUNTIF(H18,{"*Indie/Chill Dance*"})),"Samples,Synthesizer,Bass Guitar,Piano,Drum Kit,Electric Guitar",IF(SUM(COUNTIF(H18,{"*Piano*"})),"Samples,Synthesizer,Bass Guitar,Piano,Drum Kit,Electric Guitar",IF(SUM(COUNTIF(H18,{"*EDM*"})),"Samples,Synthesizer,Bass Guitar,Piano,Drum Kit,Electric Guitar",IF(H18="","","")))))))</f>
        <v/>
      </c>
      <c r="AC18">
        <f t="array" ref="AC18">IF(N18="Cover","Yes",IF(SUM(COUNTIF(N18,{"*Radio/Extended*";"*Radio*";"*Remix*"})),"No",""))</f>
        <v/>
      </c>
      <c r="AD18">
        <f t="array" ref="AD18">IF(N18="Remix","Yes",IF(SUM(COUNTIF(N18,{"*Radio/Extended*";"*Radio*";"*Cover*"})),"No",""))</f>
        <v/>
      </c>
      <c r="AE18">
        <f>IF(ISTEXT(A18),"**English**","")</f>
        <v/>
      </c>
      <c r="AF18">
        <f t="array" aca="1" ref="AF18" ca="1">+TRIM(SUBSTITUTE(SUBSTITUTE(SUBSTITUTE(SUBSTITUTE(IFERROR(AO18&amp;" "&amp;+_xlfn.XLOOKUP(((SUM(LEN(AN18))-SUM(LEN(SUBSTITUTE(AN18,",",""))))/LEN(",")+1)&amp;H18,AV:AV&amp;AW:AW,AY:AY)&amp;CHAR(34)&amp;B18&amp;CHAR(34)&amp;"!"&amp;_xlfn.XLOOKUP(H18,text_list[Genre],text_list[Type based on genre]&amp;text_list[Label]),""),"Second",AP18),"Third",AQ18),"Forth",AR18),"Fifth",AS18&amp;" "))</f>
        <v/>
      </c>
      <c r="AH18">
        <f>IF(N23="Remix","Remix",IF(N23="Cover","Cover",IF(N23="Radio","Single",IF(N23="Radio/Extended","Original",""))))</f>
        <v/>
      </c>
      <c r="AI18">
        <f t="array" ref="AI18">IF(SUM(COUNTIF(H18,{"*Deep*";"*Bass*";"*Slap*"})),"**Tiësto**Imanbek**",IF(SUM(COUNTIF(H18,{"*Lo-Fi*"})),"**L.Dre**Yasumu**",IF(SUM(COUNTIF(H18,{"*Tech*"})),"**Mau P**Gorgon City**",IF(SUM(COUNTIF(H18,{"*Indie/Chill Dance*"})),"**Felix Jaehn**Lost Frequencies**",IF(SUM(COUNTIF(H18,{"*Piano*"})),"**Avicii**Eric Prydz**",IF(SUM(COUNTIF(H18,{"*EDM*"})),"**David Guetta**Swedish House Mafia**",IF(H18="","","")))))))</f>
        <v/>
      </c>
      <c r="AJ18">
        <f t="array" aca="1" ref="AJ18" ca="1">+IFERROR(INDEX(INDIRECT((_xlfn.XLOOKUP(H18,map_country[Genre],map_country[country]))),RANK(INDIRECT((_xlfn.XLOOKUP(H18,map_country[Genre],map_country[min])),FALSE),INDIRECT((_xlfn.XLOOKUP(H18,map_country[Genre],map_country[rand]))),1)),"")</f>
        <v/>
      </c>
      <c r="AN18" s="20">
        <f>TRIM(SUBSTITUTE(SUBSTITUTE(SUBSTITUTE(A23,"&amp;",","),"feat",","),".",""))</f>
        <v/>
      </c>
      <c r="AO18" s="20">
        <f>IFERROR(_xlfn.TEXTBEFORE(AN18,","),AN18)</f>
        <v/>
      </c>
      <c r="AP18" s="20">
        <f>IFERROR(TRIM(SUBSTITUTE(SUBSTITUTE(SUBSTITUTE(SUBSTITUTE(_xlfn.TEXTAFTER(AN18,",",1),AQ18,""),AR18,""),AS18,""),",","")),"")</f>
        <v/>
      </c>
      <c r="AQ18" s="20">
        <f>IFERROR(SUBSTITUTE(SUBSTITUTE(SUBSTITUTE(_xlfn.TEXTAFTER(AN18,",",2),AR18,""),",",""),AS18,""),"")</f>
        <v/>
      </c>
      <c r="AR18" s="20">
        <f>IFERROR(SUBSTITUTE(SUBSTITUTE(_xlfn.TEXTAFTER(AN18,",",3),AS18,""),",",""),"")</f>
        <v/>
      </c>
      <c r="AS18" s="20">
        <f>IFERROR(_xlfn.TEXTAFTER(AN18,",",4),"")</f>
        <v/>
      </c>
      <c r="AV18" s="11" t="n">
        <v>2</v>
      </c>
      <c r="AW18" s="8" t="inlineStr">
        <is>
          <t>Indie/Chill Dance</t>
        </is>
      </c>
      <c r="AX18" s="12" t="inlineStr">
        <is>
          <t>teamed up with Second to deliver this indie/chill tune called ''''! Song would perfectly fit in any indie/chill mood playlist! Label will invest up to 5000 EUR advertising on facebook and instagram ads aswell as promoting it over label and label partners playlists, radio stations and press.</t>
        </is>
      </c>
      <c r="AY18">
        <f>+_xlfn.TEXTBEFORE(text_list[[#This Row],[Text]],"''''!",,0)</f>
        <v/>
      </c>
      <c r="AZ18">
        <f>+_xlfn.TEXTBEFORE(_xlfn.TEXTAFTER(text_list[[#This Row],[Text]],"'''!"),"Label")</f>
        <v/>
      </c>
      <c r="BA18">
        <f>+_xlfn.TEXTAFTER(text_list[[#This Row],[Text]],text_list[[#This Row],[Type based on genre]])</f>
        <v/>
      </c>
      <c r="BB18" t="inlineStr">
        <is>
          <t xml:space="preserve"> </t>
        </is>
      </c>
    </row>
    <row r="19">
      <c r="A19" t="inlineStr">
        <is>
          <t>Brandon Study, flywtwo</t>
        </is>
      </c>
      <c r="B19" t="inlineStr">
        <is>
          <t>White Shadows</t>
        </is>
      </c>
      <c r="C19" t="inlineStr">
        <is>
          <t>Latvia</t>
        </is>
      </c>
      <c r="D19" t="inlineStr">
        <is>
          <t>February 10th, 2023</t>
        </is>
      </c>
      <c r="E19" t="inlineStr">
        <is>
          <t>10.02.2023</t>
        </is>
      </c>
      <c r="F19" s="3" t="n">
        <v>5063248034799</v>
      </c>
      <c r="G19" t="inlineStr">
        <is>
          <t>GX89G2347015</t>
        </is>
      </c>
      <c r="H19" s="7" t="inlineStr">
        <is>
          <t>Lo-Fi</t>
        </is>
      </c>
      <c r="I19" t="inlineStr">
        <is>
          <t>2</t>
        </is>
      </c>
      <c r="J19" t="inlineStr">
        <is>
          <t>26</t>
        </is>
      </c>
      <c r="K19" t="inlineStr">
        <is>
          <t>https://soundcloud.com/floatingbluerecords/brandon-study-flywtwo-white-shadows/s-6Tw8OaX2imv?si=9e010c7aa5ea421abc3a316204139d1b&amp;utm_source=clipboard&amp;utm_medium=text&amp;utm_campaign=social_sharing</t>
        </is>
      </c>
      <c r="L19" t="inlineStr">
        <is>
          <t>Floating Blue Records</t>
        </is>
      </c>
      <c r="M19" t="n">
        <v>2</v>
      </c>
      <c r="N19" t="inlineStr">
        <is>
          <t>Radio</t>
        </is>
      </c>
      <c r="O19">
        <f>IF(N19="Remix","Citas:Remix",IF(N19="Cover","Citas:Cover",IF(N19="Radio","Single",IF(N19="Radio/Extended","Single",""))))</f>
        <v/>
      </c>
      <c r="P19">
        <f>IF(M19=1,"High_Priority",IF(M19=2,"Priority",IF(M19=3,"General_Release",IF(M19=4,"General_Release",IF(M19="","")))))</f>
        <v/>
      </c>
      <c r="Q19">
        <f>IF(N19="Remix","Citas:Remix",IF(N19="Cover","Citas:Cover",IF(N19="Radio","Single",IF(N19="Radio/Extended","Single",""))))</f>
        <v/>
      </c>
      <c r="R19">
        <f t="array" ref="R19">IF(SUM(COUNTIF(H19,{"*Deep*";"*Bass*";"*Slap*"})),"Citas:Deep House",IF(SUM(COUNTIF(H19,{"*Lo-Fi*"})),"Citas:Lo-Fi",IF(SUM(COUNTIF(H19,{"*Tech*"})),"Citas:Tech House",IF(SUM(COUNTIF(H19,{"*Indie/Chill Dance*"})),"Citas:Indie/Chill Dance",IF(SUM(COUNTIF(H19,{"*Piano*"})),"Citas:Piano House",IF(SUM(COUNTIF(H19,{"*EDM*"})),"edm dance",IF(H19="","","")))))))</f>
        <v/>
      </c>
      <c r="S19">
        <f t="array" ref="S19">IF(SUM(COUNTIF(H19,{"*Deep*";"*Bass*";"*Slap*"})),"energetic",IF(SUM(COUNTIF(H19,{"*Lo-Fi*"})),"calm",IF(SUM(COUNTIF(H19,{"*Tech*"})),"energetic",IF(SUM(COUNTIF(H19,{"*Indie/Chill Dance*"})),"chillout",IF(SUM(COUNTIF(H19,{"*Piano*"})),"energetic",IF(SUM(COUNTIF(H19,{"*EDM*"})),"energetic",IF(H19="","","")))))))</f>
        <v/>
      </c>
      <c r="T19">
        <f t="array" ref="T19">IF(SUM(COUNTIF(H19,{"*Tech*";"*EDM*";"*Indie*";"*Deep*";"*Piano*";"*Slap*";"*Brazilian Bass*"})),"Song would perfectly fit in any dance mood playlist! Label will invest up to 5000 EUR advertising on facebook and instagram ads aswell as promoting it over label and label partners playlists, radio stations and press.",IF(SUM(COUNTIF(H19,{"*Lo-Fi*"})),"Song would perfectly fit in any Lo-Fi mood playlist! Label will invest up to 5000 EUR advertising on facebook and instagram ads aswell as promoting it over label and label partners playlists, radio stations and press.",IF(H19="","","")))</f>
        <v/>
      </c>
      <c r="U19">
        <f>IF(N19="Cover","SGL",IF(N19="Radio","SGL",IF(N19="Remix","RMX",IF(N19="","","SGL"))))</f>
        <v/>
      </c>
      <c r="V19">
        <f>IF(L19="Floating Blue Records","Instrumental only",IF(L19="Day Dose Of House","Electronic, Dance, Deep House",""))</f>
        <v/>
      </c>
      <c r="X19">
        <f t="array" aca="1" ref="X19" ca="1">+IF(H19="LO-FI","",IFERROR(INDEX(INDIRECT((_xlfn.XLOOKUP(H19,map_location[Genre],map_location[location]))),RANK(INDIRECT((_xlfn.XLOOKUP(H19,map_location[Genre],map_location[min])),FALSE),INDIRECT((_xlfn.XLOOKUP(H19,map_location[Genre],map_location[rand]))),1)),""))</f>
        <v/>
      </c>
      <c r="Y19">
        <f t="array" ref="Y19">IF(SUM(COUNTIF(H19,{"*Deep*";"*Bass*";"*Slap*"})),"**Deep House**House**Dance**",IF(SUM(COUNTIF(H19,{"*Lo-Fi*"})),"**Lo-Fi Pop**Lo-Fi Beats**Lo-Fi**",IF(SUM(COUNTIF(H19,{"*Tech*"})),"**Deep House**Tech House**Dance**",IF(SUM(COUNTIF(H19,{"*Indie/Chill Dance*"})),"**Indie Dance**Indie Electronic**Dance Pop**",IF(SUM(COUNTIF(H19,{"*Piano*"})),"**House**Electro house**Melodic House**",IF(SUM(COUNTIF(H19,{"*EDM*"})),"**EDM**Electro house**Dance Pop**",IF(H19="","","")))))))</f>
        <v/>
      </c>
      <c r="Z19">
        <f t="array" ref="Z19">IF(SUM(COUNTIF(H19,{"*Deep*";"*Bass*";"*Slap*"})),"Energetic,Happy",IF(SUM(COUNTIF(H19,{"*Lo-Fi*"})),"Romantic,Chill",IF(SUM(COUNTIF(H19,{"*Tech*"})),"Energetic,Happy",IF(SUM(COUNTIF(H19,{"*Indie/Chill Dance*"})),"Energetic,Chill",IF(SUM(COUNTIF(H19,{"*Piano*"})),"Energetic,Happy",IF(SUM(COUNTIF(H19,{"*EDM*"})),"Energetic,Happy",IF(H19="","","")))))))</f>
        <v/>
      </c>
      <c r="AA19">
        <f t="array" ref="AA19">IF(SUM(COUNTIF(H19,{"*Deep*";"*Bass*";"*Slap*"})),"None of these",IF(SUM(COUNTIF(H19,{"*Lo-Fi*"})),"Holiday,Beats",IF(SUM(COUNTIF(H19,{"*Tech*"})),"None of these",IF(SUM(COUNTIF(H19,{"*Indie/Chill Dance*"})),"None of these",IF(SUM(COUNTIF(H19,{"*Piano*"})),"None of these",IF(SUM(COUNTIF(H19,{"*EDM*"})),"None of these",IF(H19="","","")))))))</f>
        <v/>
      </c>
      <c r="AB19">
        <f t="array" ref="AB19">IF(SUM(COUNTIF(H19,{"*Deep*";"*Bass*";"*Slap*"})),"Samples,Synthesizer,Bass Guitar,Piano,Drum Kit,Electric Guitar",IF(SUM(COUNTIF(H19,{"*Lo-Fi*"})),"Samples,Synthesizer,Bass Guitar,Piano,Drum Kit,Electric Guitar",IF(SUM(COUNTIF(H19,{"*Tech*"})),"Samples,Synthesizer,Bass Guitar,Piano,Drum Kit,Electric Guitar",IF(SUM(COUNTIF(H19,{"*Indie/Chill Dance*"})),"Samples,Synthesizer,Bass Guitar,Piano,Drum Kit,Electric Guitar",IF(SUM(COUNTIF(H19,{"*Piano*"})),"Samples,Synthesizer,Bass Guitar,Piano,Drum Kit,Electric Guitar",IF(SUM(COUNTIF(H19,{"*EDM*"})),"Samples,Synthesizer,Bass Guitar,Piano,Drum Kit,Electric Guitar",IF(H19="","","")))))))</f>
        <v/>
      </c>
      <c r="AC19">
        <f t="array" ref="AC19">IF(N19="Cover","Yes",IF(SUM(COUNTIF(N19,{"*Radio/Extended*";"*Radio*";"*Remix*"})),"No",""))</f>
        <v/>
      </c>
      <c r="AD19">
        <f t="array" ref="AD19">IF(N19="Remix","Yes",IF(SUM(COUNTIF(N19,{"*Radio/Extended*";"*Radio*";"*Cover*"})),"No",""))</f>
        <v/>
      </c>
      <c r="AE19">
        <f>IF(ISTEXT(A19),"**English**","")</f>
        <v/>
      </c>
      <c r="AF19">
        <f t="array" aca="1" ref="AF19" ca="1">+TRIM(SUBSTITUTE(SUBSTITUTE(SUBSTITUTE(SUBSTITUTE(IFERROR(AO19&amp;" "&amp;+_xlfn.XLOOKUP(((SUM(LEN(AN19))-SUM(LEN(SUBSTITUTE(AN19,",",""))))/LEN(",")+1)&amp;H19,AV:AV&amp;AW:AW,AY:AY)&amp;CHAR(34)&amp;B19&amp;CHAR(34)&amp;"!"&amp;_xlfn.XLOOKUP(H19,text_list[Genre],text_list[Type based on genre]&amp;text_list[Label]),""),"Second",AP19),"Third",AQ19),"Forth",AR19),"Fifth",AS19&amp;" "))</f>
        <v/>
      </c>
      <c r="AH19">
        <f>IF(N24="Remix","Remix",IF(N24="Cover","Cover",IF(N24="Radio","Single",IF(N24="Radio/Extended","Original",""))))</f>
        <v/>
      </c>
      <c r="AI19">
        <f t="array" ref="AI19">IF(SUM(COUNTIF(H19,{"*Deep*";"*Bass*";"*Slap*"})),"**Tiësto**Imanbek**",IF(SUM(COUNTIF(H19,{"*Lo-Fi*"})),"**L.Dre**Yasumu**",IF(SUM(COUNTIF(H19,{"*Tech*"})),"**Mau P**Gorgon City**",IF(SUM(COUNTIF(H19,{"*Indie/Chill Dance*"})),"**Felix Jaehn**Lost Frequencies**",IF(SUM(COUNTIF(H19,{"*Piano*"})),"**Avicii**Eric Prydz**",IF(SUM(COUNTIF(H19,{"*EDM*"})),"**David Guetta**Swedish House Mafia**",IF(H19="","","")))))))</f>
        <v/>
      </c>
      <c r="AJ19">
        <f t="array" aca="1" ref="AJ19" ca="1">+IFERROR(INDEX(INDIRECT((_xlfn.XLOOKUP(H19,map_country[Genre],map_country[country]))),RANK(INDIRECT((_xlfn.XLOOKUP(H19,map_country[Genre],map_country[min])),FALSE),INDIRECT((_xlfn.XLOOKUP(H19,map_country[Genre],map_country[rand]))),1)),"")</f>
        <v/>
      </c>
      <c r="AN19" s="20">
        <f>TRIM(SUBSTITUTE(SUBSTITUTE(SUBSTITUTE(A24,"&amp;",","),"feat",","),".",""))</f>
        <v/>
      </c>
      <c r="AO19" s="20">
        <f>IFERROR(_xlfn.TEXTBEFORE(AN19,","),AN19)</f>
        <v/>
      </c>
      <c r="AP19" s="20">
        <f>IFERROR(TRIM(SUBSTITUTE(SUBSTITUTE(SUBSTITUTE(SUBSTITUTE(_xlfn.TEXTAFTER(AN19,",",1),AQ19,""),AR19,""),AS19,""),",","")),"")</f>
        <v/>
      </c>
      <c r="AQ19" s="20">
        <f>IFERROR(SUBSTITUTE(SUBSTITUTE(SUBSTITUTE(_xlfn.TEXTAFTER(AN19,",",2),AR19,""),",",""),AS19,""),"")</f>
        <v/>
      </c>
      <c r="AR19" s="20">
        <f>IFERROR(SUBSTITUTE(SUBSTITUTE(_xlfn.TEXTAFTER(AN19,",",3),AS19,""),",",""),"")</f>
        <v/>
      </c>
      <c r="AS19" s="20">
        <f>IFERROR(_xlfn.TEXTAFTER(AN19,",",4),"")</f>
        <v/>
      </c>
      <c r="AV19" s="11" t="n">
        <v>3</v>
      </c>
      <c r="AW19" s="8" t="inlineStr">
        <is>
          <t>Indie/Chill Dance</t>
        </is>
      </c>
      <c r="AX19" s="12" t="inlineStr">
        <is>
          <t>teamed up with Second and Third to deliver this indie/chill tune called ''''! Song would perfectly fit in any indie/chill mood playlist! Label will invest up to 5000 EUR advertising on facebook and instagram ads aswell as promoting it over label and label partners playlists, radio stations and press.</t>
        </is>
      </c>
      <c r="AY19">
        <f>+_xlfn.TEXTBEFORE(text_list[[#This Row],[Text]],"''''!",,0)</f>
        <v/>
      </c>
      <c r="AZ19">
        <f>+_xlfn.TEXTBEFORE(_xlfn.TEXTAFTER(text_list[[#This Row],[Text]],"'''!"),"Label")</f>
        <v/>
      </c>
      <c r="BA19">
        <f>+_xlfn.TEXTAFTER(text_list[[#This Row],[Text]],text_list[[#This Row],[Type based on genre]])</f>
        <v/>
      </c>
      <c r="BB19" t="inlineStr">
        <is>
          <t xml:space="preserve"> </t>
        </is>
      </c>
    </row>
    <row r="20">
      <c r="A20" t="inlineStr">
        <is>
          <t>Brandon Study, flywtwo</t>
        </is>
      </c>
      <c r="B20" t="inlineStr">
        <is>
          <t>White Shadows</t>
        </is>
      </c>
      <c r="C20" t="inlineStr">
        <is>
          <t>Latvia</t>
        </is>
      </c>
      <c r="D20" t="inlineStr">
        <is>
          <t>February 10th, 2023</t>
        </is>
      </c>
      <c r="E20" t="inlineStr">
        <is>
          <t>10.02.2023</t>
        </is>
      </c>
      <c r="F20" s="3" t="n">
        <v>5063248034799</v>
      </c>
      <c r="G20" t="inlineStr">
        <is>
          <t>GX89G2347015</t>
        </is>
      </c>
      <c r="H20" s="7" t="inlineStr">
        <is>
          <t>Lo-Fi</t>
        </is>
      </c>
      <c r="I20" t="inlineStr">
        <is>
          <t>2</t>
        </is>
      </c>
      <c r="J20" t="inlineStr">
        <is>
          <t>26</t>
        </is>
      </c>
      <c r="K20" t="inlineStr">
        <is>
          <t>https://soundcloud.com/floatingbluerecords/brandon-study-flywtwo-white-shadows/s-6Tw8OaX2imv?si=9e010c7aa5ea421abc3a316204139d1b&amp;utm_source=clipboard&amp;utm_medium=text&amp;utm_campaign=social_sharing</t>
        </is>
      </c>
      <c r="L20" t="inlineStr">
        <is>
          <t>Floating Blue Records</t>
        </is>
      </c>
      <c r="M20" t="n">
        <v>2</v>
      </c>
      <c r="N20" t="inlineStr">
        <is>
          <t>Radio</t>
        </is>
      </c>
      <c r="O20">
        <f>IF(N20="Remix","Citas:Remix",IF(N20="Cover","Citas:Cover",IF(N20="Radio","Single",IF(N20="Radio/Extended","Single",""))))</f>
        <v/>
      </c>
      <c r="P20">
        <f>IF(M20=1,"High_Priority",IF(M20=2,"Priority",IF(M20=3,"General_Release",IF(M20=4,"General_Release",IF(M20="","")))))</f>
        <v/>
      </c>
      <c r="Q20">
        <f>IF(N20="Remix","Citas:Remix",IF(N20="Cover","Citas:Cover",IF(N20="Radio","Single",IF(N20="Radio/Extended","Single",""))))</f>
        <v/>
      </c>
      <c r="R20">
        <f t="array" ref="R20">IF(SUM(COUNTIF(H20,{"*Deep*";"*Bass*";"*Slap*"})),"Citas:Deep House",IF(SUM(COUNTIF(H20,{"*Lo-Fi*"})),"Citas:Lo-Fi",IF(SUM(COUNTIF(H20,{"*Tech*"})),"Citas:Tech House",IF(SUM(COUNTIF(H20,{"*Indie/Chill Dance*"})),"Citas:Indie/Chill Dance",IF(SUM(COUNTIF(H20,{"*Piano*"})),"Citas:Piano House",IF(SUM(COUNTIF(H20,{"*EDM*"})),"edm dance",IF(H20="","","")))))))</f>
        <v/>
      </c>
      <c r="S20">
        <f t="array" ref="S20">IF(SUM(COUNTIF(H20,{"*Deep*";"*Bass*";"*Slap*"})),"energetic",IF(SUM(COUNTIF(H20,{"*Lo-Fi*"})),"calm",IF(SUM(COUNTIF(H20,{"*Tech*"})),"energetic",IF(SUM(COUNTIF(H20,{"*Indie/Chill Dance*"})),"chillout",IF(SUM(COUNTIF(H20,{"*Piano*"})),"energetic",IF(SUM(COUNTIF(H20,{"*EDM*"})),"energetic",IF(H20="","","")))))))</f>
        <v/>
      </c>
      <c r="T20">
        <f t="array" ref="T20">IF(SUM(COUNTIF(H20,{"*Tech*";"*EDM*";"*Indie*";"*Deep*";"*Piano*";"*Slap*";"*Brazilian Bass*"})),"Song would perfectly fit in any dance mood playlist! Label will invest up to 5000 EUR advertising on facebook and instagram ads aswell as promoting it over label and label partners playlists, radio stations and press.",IF(SUM(COUNTIF(H20,{"*Lo-Fi*"})),"Song would perfectly fit in any Lo-Fi mood playlist! Label will invest up to 5000 EUR advertising on facebook and instagram ads aswell as promoting it over label and label partners playlists, radio stations and press.",IF(H20="","","")))</f>
        <v/>
      </c>
      <c r="U20">
        <f>IF(N20="Cover","SGL",IF(N20="Radio","SGL",IF(N20="Remix","RMX",IF(N20="","","SGL"))))</f>
        <v/>
      </c>
      <c r="V20">
        <f>IF(L20="Floating Blue Records","Instrumental only",IF(L20="Day Dose Of House","Electronic, Dance, Deep House",""))</f>
        <v/>
      </c>
      <c r="X20">
        <f t="array" aca="1" ref="X20" ca="1">+IF(H20="LO-FI","",IFERROR(INDEX(INDIRECT((_xlfn.XLOOKUP(H20,map_location[Genre],map_location[location]))),RANK(INDIRECT((_xlfn.XLOOKUP(H20,map_location[Genre],map_location[min])),FALSE),INDIRECT((_xlfn.XLOOKUP(H20,map_location[Genre],map_location[rand]))),1)),""))</f>
        <v/>
      </c>
      <c r="Y20">
        <f t="array" ref="Y20">IF(SUM(COUNTIF(H20,{"*Deep*";"*Bass*";"*Slap*"})),"**Deep House**House**Dance**",IF(SUM(COUNTIF(H20,{"*Lo-Fi*"})),"**Lo-Fi Pop**Lo-Fi Beats**Lo-Fi**",IF(SUM(COUNTIF(H20,{"*Tech*"})),"**Deep House**Tech House**Dance**",IF(SUM(COUNTIF(H20,{"*Indie/Chill Dance*"})),"**Indie Dance**Indie Electronic**Dance Pop**",IF(SUM(COUNTIF(H20,{"*Piano*"})),"**House**Electro house**Melodic House**",IF(SUM(COUNTIF(H20,{"*EDM*"})),"**EDM**Electro house**Dance Pop**",IF(H20="","","")))))))</f>
        <v/>
      </c>
      <c r="Z20">
        <f t="array" ref="Z20">IF(SUM(COUNTIF(H20,{"*Deep*";"*Bass*";"*Slap*"})),"Energetic,Happy",IF(SUM(COUNTIF(H20,{"*Lo-Fi*"})),"Romantic,Chill",IF(SUM(COUNTIF(H20,{"*Tech*"})),"Energetic,Happy",IF(SUM(COUNTIF(H20,{"*Indie/Chill Dance*"})),"Energetic,Chill",IF(SUM(COUNTIF(H20,{"*Piano*"})),"Energetic,Happy",IF(SUM(COUNTIF(H20,{"*EDM*"})),"Energetic,Happy",IF(H20="","","")))))))</f>
        <v/>
      </c>
      <c r="AA20">
        <f t="array" ref="AA20">IF(SUM(COUNTIF(H20,{"*Deep*";"*Bass*";"*Slap*"})),"None of these",IF(SUM(COUNTIF(H20,{"*Lo-Fi*"})),"Holiday,Beats",IF(SUM(COUNTIF(H20,{"*Tech*"})),"None of these",IF(SUM(COUNTIF(H20,{"*Indie/Chill Dance*"})),"None of these",IF(SUM(COUNTIF(H20,{"*Piano*"})),"None of these",IF(SUM(COUNTIF(H20,{"*EDM*"})),"None of these",IF(H20="","","")))))))</f>
        <v/>
      </c>
      <c r="AB20">
        <f t="array" ref="AB20">IF(SUM(COUNTIF(H20,{"*Deep*";"*Bass*";"*Slap*"})),"Samples,Synthesizer,Bass Guitar,Piano,Drum Kit,Electric Guitar",IF(SUM(COUNTIF(H20,{"*Lo-Fi*"})),"Samples,Synthesizer,Bass Guitar,Piano,Drum Kit,Electric Guitar",IF(SUM(COUNTIF(H20,{"*Tech*"})),"Samples,Synthesizer,Bass Guitar,Piano,Drum Kit,Electric Guitar",IF(SUM(COUNTIF(H20,{"*Indie/Chill Dance*"})),"Samples,Synthesizer,Bass Guitar,Piano,Drum Kit,Electric Guitar",IF(SUM(COUNTIF(H20,{"*Piano*"})),"Samples,Synthesizer,Bass Guitar,Piano,Drum Kit,Electric Guitar",IF(SUM(COUNTIF(H20,{"*EDM*"})),"Samples,Synthesizer,Bass Guitar,Piano,Drum Kit,Electric Guitar",IF(H20="","","")))))))</f>
        <v/>
      </c>
      <c r="AC20">
        <f t="array" ref="AC20">IF(N20="Cover","Yes",IF(SUM(COUNTIF(N20,{"*Radio/Extended*";"*Radio*";"*Remix*"})),"No",""))</f>
        <v/>
      </c>
      <c r="AD20">
        <f t="array" ref="AD20">IF(N20="Remix","Yes",IF(SUM(COUNTIF(N20,{"*Radio/Extended*";"*Radio*";"*Cover*"})),"No",""))</f>
        <v/>
      </c>
      <c r="AE20">
        <f>IF(ISTEXT(A20),"**English**","")</f>
        <v/>
      </c>
      <c r="AF20">
        <f t="array" aca="1" ref="AF20" ca="1">+TRIM(SUBSTITUTE(SUBSTITUTE(SUBSTITUTE(SUBSTITUTE(IFERROR(AO20&amp;" "&amp;+_xlfn.XLOOKUP(((SUM(LEN(AN20))-SUM(LEN(SUBSTITUTE(AN20,",",""))))/LEN(",")+1)&amp;H20,AV:AV&amp;AW:AW,AY:AY)&amp;CHAR(34)&amp;B20&amp;CHAR(34)&amp;"!"&amp;_xlfn.XLOOKUP(H20,text_list[Genre],text_list[Type based on genre]&amp;text_list[Label]),""),"Second",AP20),"Third",AQ20),"Forth",AR20),"Fifth",AS20&amp;" "))</f>
        <v/>
      </c>
      <c r="AH20">
        <f>IF(N25="Remix","Remix",IF(N25="Cover","Cover",IF(N25="Radio","Single",IF(N25="Radio/Extended","Original",""))))</f>
        <v/>
      </c>
      <c r="AI20">
        <f t="array" ref="AI20">IF(SUM(COUNTIF(H20,{"*Deep*";"*Bass*";"*Slap*"})),"**Tiësto**Imanbek**",IF(SUM(COUNTIF(H20,{"*Lo-Fi*"})),"**L.Dre**Yasumu**",IF(SUM(COUNTIF(H20,{"*Tech*"})),"**Mau P**Gorgon City**",IF(SUM(COUNTIF(H20,{"*Indie/Chill Dance*"})),"**Felix Jaehn**Lost Frequencies**",IF(SUM(COUNTIF(H20,{"*Piano*"})),"**Avicii**Eric Prydz**",IF(SUM(COUNTIF(H20,{"*EDM*"})),"**David Guetta**Swedish House Mafia**",IF(H20="","","")))))))</f>
        <v/>
      </c>
      <c r="AJ20">
        <f t="array" aca="1" ref="AJ20" ca="1">+IFERROR(INDEX(INDIRECT((_xlfn.XLOOKUP(H20,map_country[Genre],map_country[country]))),RANK(INDIRECT((_xlfn.XLOOKUP(H20,map_country[Genre],map_country[min])),FALSE),INDIRECT((_xlfn.XLOOKUP(H20,map_country[Genre],map_country[rand]))),1)),"")</f>
        <v/>
      </c>
      <c r="AN20" s="20">
        <f>TRIM(SUBSTITUTE(SUBSTITUTE(SUBSTITUTE(A25,"&amp;",","),"feat",","),".",""))</f>
        <v/>
      </c>
      <c r="AO20" s="20">
        <f>IFERROR(_xlfn.TEXTBEFORE(AN20,","),AN20)</f>
        <v/>
      </c>
      <c r="AP20" s="20">
        <f>IFERROR(TRIM(SUBSTITUTE(SUBSTITUTE(SUBSTITUTE(SUBSTITUTE(_xlfn.TEXTAFTER(AN20,",",1),AQ20,""),AR20,""),AS20,""),",","")),"")</f>
        <v/>
      </c>
      <c r="AQ20" s="20">
        <f>IFERROR(SUBSTITUTE(SUBSTITUTE(SUBSTITUTE(_xlfn.TEXTAFTER(AN20,",",2),AR20,""),",",""),AS20,""),"")</f>
        <v/>
      </c>
      <c r="AR20" s="20">
        <f>IFERROR(SUBSTITUTE(SUBSTITUTE(_xlfn.TEXTAFTER(AN20,",",3),AS20,""),",",""),"")</f>
        <v/>
      </c>
      <c r="AS20" s="20">
        <f>IFERROR(_xlfn.TEXTAFTER(AN20,",",4),"")</f>
        <v/>
      </c>
      <c r="AV20" s="11" t="n">
        <v>4</v>
      </c>
      <c r="AW20" s="8" t="inlineStr">
        <is>
          <t>Indie/Chill Dance</t>
        </is>
      </c>
      <c r="AX20" s="12" t="inlineStr">
        <is>
          <t>teamed up with Second, Third and Forth to deliver this indie/chill tune called ''''! Song would perfectly fit in any indie/chill mood playlist! Label will invest up to 5000 EUR advertising on facebook and instagram ads aswell as promoting it over label and label partners playlists, radio stations and press.</t>
        </is>
      </c>
      <c r="AY20">
        <f>+_xlfn.TEXTBEFORE(text_list[[#This Row],[Text]],"''''!",,0)</f>
        <v/>
      </c>
      <c r="AZ20">
        <f>+_xlfn.TEXTBEFORE(_xlfn.TEXTAFTER(text_list[[#This Row],[Text]],"'''!"),"Label")</f>
        <v/>
      </c>
      <c r="BA20">
        <f>+_xlfn.TEXTAFTER(text_list[[#This Row],[Text]],text_list[[#This Row],[Type based on genre]])</f>
        <v/>
      </c>
      <c r="BB20" t="inlineStr">
        <is>
          <t xml:space="preserve"> </t>
        </is>
      </c>
      <c r="BE20" t="inlineStr">
        <is>
          <t>Country</t>
        </is>
      </c>
      <c r="BF20" t="inlineStr">
        <is>
          <t>Genre</t>
        </is>
      </c>
      <c r="BG20" t="inlineStr">
        <is>
          <t>Rand</t>
        </is>
      </c>
      <c r="BJ20" t="inlineStr">
        <is>
          <t>Country</t>
        </is>
      </c>
      <c r="BK20" t="inlineStr">
        <is>
          <t>Genre</t>
        </is>
      </c>
      <c r="BL20" t="inlineStr">
        <is>
          <t>Rand</t>
        </is>
      </c>
      <c r="BN20" t="inlineStr">
        <is>
          <t>Country</t>
        </is>
      </c>
      <c r="BO20" t="inlineStr">
        <is>
          <t>Genre</t>
        </is>
      </c>
      <c r="BP20" t="inlineStr">
        <is>
          <t>Rand</t>
        </is>
      </c>
      <c r="BR20" t="inlineStr">
        <is>
          <t>Country</t>
        </is>
      </c>
      <c r="BS20" t="inlineStr">
        <is>
          <t>Genre</t>
        </is>
      </c>
      <c r="BT20" t="inlineStr">
        <is>
          <t>Rand</t>
        </is>
      </c>
      <c r="BV20" t="inlineStr">
        <is>
          <t>Country</t>
        </is>
      </c>
      <c r="BW20" t="inlineStr">
        <is>
          <t>Genre</t>
        </is>
      </c>
      <c r="BX20" t="inlineStr">
        <is>
          <t>Rand</t>
        </is>
      </c>
    </row>
    <row r="21">
      <c r="A21" t="inlineStr">
        <is>
          <t>Brandon Study, flywtwo</t>
        </is>
      </c>
      <c r="B21" t="inlineStr">
        <is>
          <t>White Shadows</t>
        </is>
      </c>
      <c r="C21" t="inlineStr">
        <is>
          <t>Latvia</t>
        </is>
      </c>
      <c r="D21" t="inlineStr">
        <is>
          <t>February 10th, 2023</t>
        </is>
      </c>
      <c r="E21" t="inlineStr">
        <is>
          <t>10.02.2023</t>
        </is>
      </c>
      <c r="F21" s="3" t="n">
        <v>5063248034799</v>
      </c>
      <c r="G21" t="inlineStr">
        <is>
          <t>GX89G2347015</t>
        </is>
      </c>
      <c r="H21" t="inlineStr">
        <is>
          <t>Lo-Fi</t>
        </is>
      </c>
      <c r="I21" t="inlineStr">
        <is>
          <t>2</t>
        </is>
      </c>
      <c r="J21" t="inlineStr">
        <is>
          <t>26</t>
        </is>
      </c>
      <c r="K21" t="inlineStr">
        <is>
          <t>https://soundcloud.com/floatingbluerecords/brandon-study-flywtwo-white-shadows/s-6Tw8OaX2imv?si=9e010c7aa5ea421abc3a316204139d1b&amp;utm_source=clipboard&amp;utm_medium=text&amp;utm_campaign=social_sharing</t>
        </is>
      </c>
      <c r="L21" t="inlineStr">
        <is>
          <t>Floating Blue Records</t>
        </is>
      </c>
      <c r="M21" t="n">
        <v>2</v>
      </c>
      <c r="N21" t="inlineStr">
        <is>
          <t>Radio</t>
        </is>
      </c>
      <c r="O21">
        <f>IF(N21="Remix","Citas:Remix",IF(N21="Cover","Citas:Cover",IF(N21="Radio","Single",IF(N21="Radio/Extended","Single",""))))</f>
        <v/>
      </c>
      <c r="P21">
        <f>IF(M21=1,"High_Priority",IF(M21=2,"Priority",IF(M21=3,"General_Release",IF(M21=4,"General_Release",IF(M21="","")))))</f>
        <v/>
      </c>
      <c r="Q21">
        <f>IF(N21="Remix","Citas:Remix",IF(N21="Cover","Citas:Cover",IF(N21="Radio","Single",IF(N21="Radio/Extended","Single",""))))</f>
        <v/>
      </c>
      <c r="R21">
        <f t="array" ref="R21">IF(SUM(COUNTIF(H21,{"*Deep*";"*Bass*";"*Slap*"})),"Citas:Deep House",IF(SUM(COUNTIF(H21,{"*Lo-Fi*"})),"Citas:Lo-Fi",IF(SUM(COUNTIF(H21,{"*Tech*"})),"Citas:Tech House",IF(SUM(COUNTIF(H21,{"*Indie/Chill Dance*"})),"Citas:Indie/Chill Dance",IF(SUM(COUNTIF(H21,{"*Piano*"})),"Citas:Piano House",IF(SUM(COUNTIF(H21,{"*EDM*"})),"edm dance",IF(H21="","","")))))))</f>
        <v/>
      </c>
      <c r="S21">
        <f t="array" ref="S21">IF(SUM(COUNTIF(H21,{"*Deep*";"*Bass*";"*Slap*"})),"energetic",IF(SUM(COUNTIF(H21,{"*Lo-Fi*"})),"calm",IF(SUM(COUNTIF(H21,{"*Tech*"})),"energetic",IF(SUM(COUNTIF(H21,{"*Indie/Chill Dance*"})),"chillout",IF(SUM(COUNTIF(H21,{"*Piano*"})),"energetic",IF(SUM(COUNTIF(H21,{"*EDM*"})),"energetic",IF(H21="","","")))))))</f>
        <v/>
      </c>
      <c r="T21">
        <f t="array" ref="T21">IF(SUM(COUNTIF(H21,{"*Tech*";"*EDM*";"*Indie*";"*Deep*";"*Piano*";"*Slap*";"*Brazilian Bass*"})),"Song would perfectly fit in any dance mood playlist! Label will invest up to 5000 EUR advertising on facebook and instagram ads aswell as promoting it over label and label partners playlists, radio stations and press.",IF(SUM(COUNTIF(H21,{"*Lo-Fi*"})),"Song would perfectly fit in any Lo-Fi mood playlist! Label will invest up to 5000 EUR advertising on facebook and instagram ads aswell as promoting it over label and label partners playlists, radio stations and press.",IF(H21="","","")))</f>
        <v/>
      </c>
      <c r="U21">
        <f>IF(N21="Cover","SGL",IF(N21="Radio","SGL",IF(N21="Remix","RMX",IF(N21="","","SGL"))))</f>
        <v/>
      </c>
      <c r="V21">
        <f>IF(L21="Floating Blue Records","Instrumental only",IF(L21="Day Dose Of House","Electronic, Dance, Deep House",""))</f>
        <v/>
      </c>
      <c r="X21">
        <f t="array" aca="1" ref="X21" ca="1">+IF(H21="LO-FI","",IFERROR(INDEX(INDIRECT((_xlfn.XLOOKUP(H21,map_location[Genre],map_location[location]))),RANK(INDIRECT((_xlfn.XLOOKUP(H21,map_location[Genre],map_location[min])),FALSE),INDIRECT((_xlfn.XLOOKUP(H21,map_location[Genre],map_location[rand]))),1)),""))</f>
        <v/>
      </c>
      <c r="Y21">
        <f t="array" ref="Y21">IF(SUM(COUNTIF(H21,{"*Deep*";"*Bass*";"*Slap*"})),"**Deep House**House**Dance**",IF(SUM(COUNTIF(H21,{"*Lo-Fi*"})),"**Lo-Fi Pop**Lo-Fi Beats**Lo-Fi**",IF(SUM(COUNTIF(H21,{"*Tech*"})),"**Deep House**Tech House**Dance**",IF(SUM(COUNTIF(H21,{"*Indie/Chill Dance*"})),"**Indie Dance**Indie Electronic**Dance Pop**",IF(SUM(COUNTIF(H21,{"*Piano*"})),"**House**Electro house**Melodic House**",IF(SUM(COUNTIF(H21,{"*EDM*"})),"**EDM**Electro house**Dance Pop**",IF(H21="","","")))))))</f>
        <v/>
      </c>
      <c r="Z21">
        <f t="array" ref="Z21">IF(SUM(COUNTIF(H21,{"*Deep*";"*Bass*";"*Slap*"})),"Energetic,Happy",IF(SUM(COUNTIF(H21,{"*Lo-Fi*"})),"Romantic,Chill",IF(SUM(COUNTIF(H21,{"*Tech*"})),"Energetic,Happy",IF(SUM(COUNTIF(H21,{"*Indie/Chill Dance*"})),"Energetic,Chill",IF(SUM(COUNTIF(H21,{"*Piano*"})),"Energetic,Happy",IF(SUM(COUNTIF(H21,{"*EDM*"})),"Energetic,Happy",IF(H21="","","")))))))</f>
        <v/>
      </c>
      <c r="AA21">
        <f t="array" ref="AA21">IF(SUM(COUNTIF(H21,{"*Deep*";"*Bass*";"*Slap*"})),"None of these",IF(SUM(COUNTIF(H21,{"*Lo-Fi*"})),"Holiday,Beats",IF(SUM(COUNTIF(H21,{"*Tech*"})),"None of these",IF(SUM(COUNTIF(H21,{"*Indie/Chill Dance*"})),"None of these",IF(SUM(COUNTIF(H21,{"*Piano*"})),"None of these",IF(SUM(COUNTIF(H21,{"*EDM*"})),"None of these",IF(H21="","","")))))))</f>
        <v/>
      </c>
      <c r="AB21">
        <f t="array" ref="AB21">IF(SUM(COUNTIF(H21,{"*Deep*";"*Bass*";"*Slap*"})),"Samples,Synthesizer,Bass Guitar,Piano,Drum Kit,Electric Guitar",IF(SUM(COUNTIF(H21,{"*Lo-Fi*"})),"Samples,Synthesizer,Bass Guitar,Piano,Drum Kit,Electric Guitar",IF(SUM(COUNTIF(H21,{"*Tech*"})),"Samples,Synthesizer,Bass Guitar,Piano,Drum Kit,Electric Guitar",IF(SUM(COUNTIF(H21,{"*Indie/Chill Dance*"})),"Samples,Synthesizer,Bass Guitar,Piano,Drum Kit,Electric Guitar",IF(SUM(COUNTIF(H21,{"*Piano*"})),"Samples,Synthesizer,Bass Guitar,Piano,Drum Kit,Electric Guitar",IF(SUM(COUNTIF(H21,{"*EDM*"})),"Samples,Synthesizer,Bass Guitar,Piano,Drum Kit,Electric Guitar",IF(H21="","","")))))))</f>
        <v/>
      </c>
      <c r="AC21">
        <f t="array" ref="AC21">IF(N21="Cover","Yes",IF(SUM(COUNTIF(N21,{"*Radio/Extended*";"*Radio*";"*Remix*"})),"No",""))</f>
        <v/>
      </c>
      <c r="AD21">
        <f t="array" ref="AD21">IF(N21="Remix","Yes",IF(SUM(COUNTIF(N21,{"*Radio/Extended*";"*Radio*";"*Cover*"})),"No",""))</f>
        <v/>
      </c>
      <c r="AE21">
        <f>IF(ISTEXT(A21),"**English**","")</f>
        <v/>
      </c>
      <c r="AF21">
        <f t="array" aca="1" ref="AF21" ca="1">+TRIM(SUBSTITUTE(SUBSTITUTE(SUBSTITUTE(SUBSTITUTE(IFERROR(AO21&amp;" "&amp;+_xlfn.XLOOKUP(((SUM(LEN(AN21))-SUM(LEN(SUBSTITUTE(AN21,",",""))))/LEN(",")+1)&amp;H21,AV:AV&amp;AW:AW,AY:AY)&amp;CHAR(34)&amp;B21&amp;CHAR(34)&amp;"!"&amp;_xlfn.XLOOKUP(H21,text_list[Genre],text_list[Type based on genre]&amp;text_list[Label]),""),"Second",AP21),"Third",AQ21),"Forth",AR21),"Fifth",AS21&amp;" "))</f>
        <v/>
      </c>
      <c r="AH21">
        <f>IF(N26="Remix","Remix",IF(N26="Cover","Cover",IF(N26="Radio","Single",IF(N26="Radio/Extended","Original",""))))</f>
        <v/>
      </c>
      <c r="AI21">
        <f t="array" ref="AI21">IF(SUM(COUNTIF(H21,{"*Deep*";"*Bass*";"*Slap*"})),"**Tiësto**Imanbek**",IF(SUM(COUNTIF(H21,{"*Lo-Fi*"})),"**L.Dre**Yasumu**",IF(SUM(COUNTIF(H21,{"*Tech*"})),"**Mau P**Gorgon City**",IF(SUM(COUNTIF(H21,{"*Indie/Chill Dance*"})),"**Felix Jaehn**Lost Frequencies**",IF(SUM(COUNTIF(H21,{"*Piano*"})),"**Avicii**Eric Prydz**",IF(SUM(COUNTIF(H21,{"*EDM*"})),"**David Guetta**Swedish House Mafia**",IF(H21="","","")))))))</f>
        <v/>
      </c>
      <c r="AJ21">
        <f t="array" aca="1" ref="AJ21" ca="1">+IFERROR(INDEX(INDIRECT((_xlfn.XLOOKUP(H21,map_country[Genre],map_country[country]))),RANK(INDIRECT((_xlfn.XLOOKUP(H21,map_country[Genre],map_country[min])),FALSE),INDIRECT((_xlfn.XLOOKUP(H21,map_country[Genre],map_country[rand]))),1)),"")</f>
        <v/>
      </c>
      <c r="AN21" s="20">
        <f>TRIM(SUBSTITUTE(SUBSTITUTE(SUBSTITUTE(A26,"&amp;",","),"feat",","),".",""))</f>
        <v/>
      </c>
      <c r="AO21" s="20">
        <f>IFERROR(_xlfn.TEXTBEFORE(AN21,","),AN21)</f>
        <v/>
      </c>
      <c r="AP21" s="20">
        <f>IFERROR(TRIM(SUBSTITUTE(SUBSTITUTE(SUBSTITUTE(SUBSTITUTE(_xlfn.TEXTAFTER(AN21,",",1),AQ21,""),AR21,""),AS21,""),",","")),"")</f>
        <v/>
      </c>
      <c r="AQ21" s="20">
        <f>IFERROR(SUBSTITUTE(SUBSTITUTE(SUBSTITUTE(_xlfn.TEXTAFTER(AN21,",",2),AR21,""),",",""),AS21,""),"")</f>
        <v/>
      </c>
      <c r="AR21" s="20">
        <f>IFERROR(SUBSTITUTE(SUBSTITUTE(_xlfn.TEXTAFTER(AN21,",",3),AS21,""),",",""),"")</f>
        <v/>
      </c>
      <c r="AS21" s="20">
        <f>IFERROR(_xlfn.TEXTAFTER(AN21,",",4),"")</f>
        <v/>
      </c>
      <c r="AV21" s="11" t="n">
        <v>5</v>
      </c>
      <c r="AW21" s="8" t="inlineStr">
        <is>
          <t>Indie/Chill Dance</t>
        </is>
      </c>
      <c r="AX21" s="12" t="inlineStr">
        <is>
          <t>teamed up with Second, Third, Forth, and Fifth to deliver this indie/chill tune called ''''! Song would perfectly fit in any indie/chill mood playlist! Label will invest up to 5000 EUR advertising on facebook and instagram ads aswell as promoting it over label and label partners playlists, radio stations and press.</t>
        </is>
      </c>
      <c r="AY21">
        <f>+_xlfn.TEXTBEFORE(text_list[[#This Row],[Text]],"''''!",,0)</f>
        <v/>
      </c>
      <c r="AZ21">
        <f>+_xlfn.TEXTBEFORE(_xlfn.TEXTAFTER(text_list[[#This Row],[Text]],"'''!"),"Label")</f>
        <v/>
      </c>
      <c r="BA21">
        <f>+_xlfn.TEXTAFTER(text_list[[#This Row],[Text]],text_list[[#This Row],[Type based on genre]])</f>
        <v/>
      </c>
      <c r="BB21" t="inlineStr">
        <is>
          <t xml:space="preserve"> </t>
        </is>
      </c>
      <c r="BE21" t="inlineStr">
        <is>
          <t>**United Kingdom**</t>
        </is>
      </c>
      <c r="BF21" t="inlineStr">
        <is>
          <t>Deep House</t>
        </is>
      </c>
      <c r="BG21">
        <f>+RAND()</f>
        <v/>
      </c>
      <c r="BJ21" t="inlineStr">
        <is>
          <t>**United Kingdom**</t>
        </is>
      </c>
      <c r="BK21" t="inlineStr">
        <is>
          <t>Tech House</t>
        </is>
      </c>
      <c r="BL21">
        <f>+RAND()</f>
        <v/>
      </c>
      <c r="BN21" t="inlineStr">
        <is>
          <t>**United Kingdom**</t>
        </is>
      </c>
      <c r="BO21" t="inlineStr">
        <is>
          <t>Piano House</t>
        </is>
      </c>
      <c r="BP21">
        <f>+RAND()</f>
        <v/>
      </c>
      <c r="BR21" t="inlineStr">
        <is>
          <t>**United Kingdom**</t>
        </is>
      </c>
      <c r="BS21" t="inlineStr">
        <is>
          <t>Indie/Chill Dance</t>
        </is>
      </c>
      <c r="BT21">
        <f>+RAND()</f>
        <v/>
      </c>
      <c r="BV21" t="inlineStr">
        <is>
          <t>**United Kingdom**</t>
        </is>
      </c>
      <c r="BW21" t="inlineStr">
        <is>
          <t>EDM</t>
        </is>
      </c>
      <c r="BX21">
        <f>+RAND()</f>
        <v/>
      </c>
    </row>
    <row r="22">
      <c r="A22" t="inlineStr">
        <is>
          <t>Brandon Study, flywtwo</t>
        </is>
      </c>
      <c r="B22" t="inlineStr">
        <is>
          <t>White Shadows</t>
        </is>
      </c>
      <c r="C22" t="inlineStr">
        <is>
          <t>Latvia</t>
        </is>
      </c>
      <c r="D22" t="inlineStr">
        <is>
          <t>February 10th, 2023</t>
        </is>
      </c>
      <c r="E22" t="inlineStr">
        <is>
          <t>10.02.2023</t>
        </is>
      </c>
      <c r="F22" s="3" t="n">
        <v>5063248034799</v>
      </c>
      <c r="G22" t="inlineStr">
        <is>
          <t>GX89G2347015</t>
        </is>
      </c>
      <c r="H22" t="inlineStr">
        <is>
          <t>Lo-Fi</t>
        </is>
      </c>
      <c r="I22" t="inlineStr">
        <is>
          <t>2</t>
        </is>
      </c>
      <c r="J22" t="inlineStr">
        <is>
          <t>26</t>
        </is>
      </c>
      <c r="K22" t="inlineStr">
        <is>
          <t>https://soundcloud.com/floatingbluerecords/brandon-study-flywtwo-white-shadows/s-6Tw8OaX2imv?si=9e010c7aa5ea421abc3a316204139d1b&amp;utm_source=clipboard&amp;utm_medium=text&amp;utm_campaign=social_sharing</t>
        </is>
      </c>
      <c r="L22" t="inlineStr">
        <is>
          <t>Floating Blue Records</t>
        </is>
      </c>
      <c r="M22" t="n">
        <v>2</v>
      </c>
      <c r="N22" t="inlineStr">
        <is>
          <t>Radio</t>
        </is>
      </c>
      <c r="O22">
        <f>IF(N22="Remix","Citas:Remix",IF(N22="Cover","Citas:Cover",IF(N22="Radio","Single",IF(N22="Radio/Extended","Single",""))))</f>
        <v/>
      </c>
      <c r="P22">
        <f>IF(M22=1,"High_Priority",IF(M22=2,"Priority",IF(M22=3,"General_Release",IF(M22=4,"General_Release",IF(M22="","")))))</f>
        <v/>
      </c>
      <c r="Q22">
        <f>IF(N22="Remix","Citas:Remix",IF(N22="Cover","Citas:Cover",IF(N22="Radio","Single",IF(N22="Radio/Extended","Single",""))))</f>
        <v/>
      </c>
      <c r="R22">
        <f t="array" ref="R22">IF(SUM(COUNTIF(H22,{"*Deep*";"*Bass*";"*Slap*"})),"Citas:Deep House",IF(SUM(COUNTIF(H22,{"*Lo-Fi*"})),"Citas:Lo-Fi",IF(SUM(COUNTIF(H22,{"*Tech*"})),"Citas:Tech House",IF(SUM(COUNTIF(H22,{"*Indie/Chill Dance*"})),"Citas:Indie/Chill Dance",IF(SUM(COUNTIF(H22,{"*Piano*"})),"Citas:Piano House",IF(SUM(COUNTIF(H22,{"*EDM*"})),"edm dance",IF(H22="","","")))))))</f>
        <v/>
      </c>
      <c r="S22">
        <f t="array" ref="S22">IF(SUM(COUNTIF(H22,{"*Deep*";"*Bass*";"*Slap*"})),"energetic",IF(SUM(COUNTIF(H22,{"*Lo-Fi*"})),"calm",IF(SUM(COUNTIF(H22,{"*Tech*"})),"energetic",IF(SUM(COUNTIF(H22,{"*Indie/Chill Dance*"})),"chillout",IF(SUM(COUNTIF(H22,{"*Piano*"})),"energetic",IF(SUM(COUNTIF(H22,{"*EDM*"})),"energetic",IF(H22="","","")))))))</f>
        <v/>
      </c>
      <c r="T22">
        <f t="array" ref="T22">IF(SUM(COUNTIF(H22,{"*Tech*";"*EDM*";"*Indie*";"*Deep*";"*Piano*";"*Slap*";"*Brazilian Bass*"})),"Song would perfectly fit in any dance mood playlist! Label will invest up to 5000 EUR advertising on facebook and instagram ads aswell as promoting it over label and label partners playlists, radio stations and press.",IF(SUM(COUNTIF(H22,{"*Lo-Fi*"})),"Song would perfectly fit in any Lo-Fi mood playlist! Label will invest up to 5000 EUR advertising on facebook and instagram ads aswell as promoting it over label and label partners playlists, radio stations and press.",IF(H22="","","")))</f>
        <v/>
      </c>
      <c r="U22">
        <f>IF(N22="Cover","SGL",IF(N22="Radio","SGL",IF(N22="Remix","RMX",IF(N22="","","SGL"))))</f>
        <v/>
      </c>
      <c r="V22">
        <f>IF(L22="Floating Blue Records","Instrumental only",IF(L22="Day Dose Of House","Electronic, Dance, Deep House",""))</f>
        <v/>
      </c>
      <c r="X22">
        <f t="array" aca="1" ref="X22" ca="1">+IF(H22="LO-FI","",IFERROR(INDEX(INDIRECT((_xlfn.XLOOKUP(H22,map_location[Genre],map_location[location]))),RANK(INDIRECT((_xlfn.XLOOKUP(H22,map_location[Genre],map_location[min])),FALSE),INDIRECT((_xlfn.XLOOKUP(H22,map_location[Genre],map_location[rand]))),1)),""))</f>
        <v/>
      </c>
      <c r="Y22">
        <f t="array" ref="Y22">IF(SUM(COUNTIF(H22,{"*Deep*";"*Bass*";"*Slap*"})),"**Deep House**House**Dance**",IF(SUM(COUNTIF(H22,{"*Lo-Fi*"})),"**Lo-Fi Pop**Lo-Fi Beats**Lo-Fi**",IF(SUM(COUNTIF(H22,{"*Tech*"})),"**Deep House**Tech House**Dance**",IF(SUM(COUNTIF(H22,{"*Indie/Chill Dance*"})),"**Indie Dance**Indie Electronic**Dance Pop**",IF(SUM(COUNTIF(H22,{"*Piano*"})),"**House**Electro house**Melodic House**",IF(SUM(COUNTIF(H22,{"*EDM*"})),"**EDM**Electro house**Dance Pop**",IF(H22="","","")))))))</f>
        <v/>
      </c>
      <c r="Z22">
        <f t="array" ref="Z22">IF(SUM(COUNTIF(H22,{"*Deep*";"*Bass*";"*Slap*"})),"Energetic,Happy",IF(SUM(COUNTIF(H22,{"*Lo-Fi*"})),"Romantic,Chill",IF(SUM(COUNTIF(H22,{"*Tech*"})),"Energetic,Happy",IF(SUM(COUNTIF(H22,{"*Indie/Chill Dance*"})),"Energetic,Chill",IF(SUM(COUNTIF(H22,{"*Piano*"})),"Energetic,Happy",IF(SUM(COUNTIF(H22,{"*EDM*"})),"Energetic,Happy",IF(H22="","","")))))))</f>
        <v/>
      </c>
      <c r="AA22">
        <f t="array" ref="AA22">IF(SUM(COUNTIF(H22,{"*Deep*";"*Bass*";"*Slap*"})),"None of these",IF(SUM(COUNTIF(H22,{"*Lo-Fi*"})),"Holiday,Beats",IF(SUM(COUNTIF(H22,{"*Tech*"})),"None of these",IF(SUM(COUNTIF(H22,{"*Indie/Chill Dance*"})),"None of these",IF(SUM(COUNTIF(H22,{"*Piano*"})),"None of these",IF(SUM(COUNTIF(H22,{"*EDM*"})),"None of these",IF(H22="","","")))))))</f>
        <v/>
      </c>
      <c r="AB22">
        <f t="array" ref="AB22">IF(SUM(COUNTIF(H22,{"*Deep*";"*Bass*";"*Slap*"})),"Samples,Synthesizer,Bass Guitar,Piano,Drum Kit,Electric Guitar",IF(SUM(COUNTIF(H22,{"*Lo-Fi*"})),"Samples,Synthesizer,Bass Guitar,Piano,Drum Kit,Electric Guitar",IF(SUM(COUNTIF(H22,{"*Tech*"})),"Samples,Synthesizer,Bass Guitar,Piano,Drum Kit,Electric Guitar",IF(SUM(COUNTIF(H22,{"*Indie/Chill Dance*"})),"Samples,Synthesizer,Bass Guitar,Piano,Drum Kit,Electric Guitar",IF(SUM(COUNTIF(H22,{"*Piano*"})),"Samples,Synthesizer,Bass Guitar,Piano,Drum Kit,Electric Guitar",IF(SUM(COUNTIF(H22,{"*EDM*"})),"Samples,Synthesizer,Bass Guitar,Piano,Drum Kit,Electric Guitar",IF(H22="","","")))))))</f>
        <v/>
      </c>
      <c r="AC22">
        <f t="array" ref="AC22">IF(N22="Cover","Yes",IF(SUM(COUNTIF(N22,{"*Radio/Extended*";"*Radio*";"*Remix*"})),"No",""))</f>
        <v/>
      </c>
      <c r="AD22">
        <f t="array" ref="AD22">IF(N22="Remix","Yes",IF(SUM(COUNTIF(N22,{"*Radio/Extended*";"*Radio*";"*Cover*"})),"No",""))</f>
        <v/>
      </c>
      <c r="AE22">
        <f>IF(ISTEXT(A22),"**English**","")</f>
        <v/>
      </c>
      <c r="AF22">
        <f t="array" aca="1" ref="AF22" ca="1">+TRIM(SUBSTITUTE(SUBSTITUTE(SUBSTITUTE(SUBSTITUTE(IFERROR(AO22&amp;" "&amp;+_xlfn.XLOOKUP(((SUM(LEN(AN22))-SUM(LEN(SUBSTITUTE(AN22,",",""))))/LEN(",")+1)&amp;H22,AV:AV&amp;AW:AW,AY:AY)&amp;CHAR(34)&amp;B22&amp;CHAR(34)&amp;"!"&amp;_xlfn.XLOOKUP(H22,text_list[Genre],text_list[Type based on genre]&amp;text_list[Label]),""),"Second",AP22),"Third",AQ22),"Forth",AR22),"Fifth",AS22&amp;" "))</f>
        <v/>
      </c>
      <c r="AH22">
        <f>IF(N27="Remix","Remix",IF(N27="Cover","Cover",IF(N27="Radio","Single",IF(N27="Radio/Extended","Original",""))))</f>
        <v/>
      </c>
      <c r="AI22">
        <f t="array" ref="AI22">IF(SUM(COUNTIF(H22,{"*Deep*";"*Bass*";"*Slap*"})),"**Tiësto**Imanbek**",IF(SUM(COUNTIF(H22,{"*Lo-Fi*"})),"**L.Dre**Yasumu**",IF(SUM(COUNTIF(H22,{"*Tech*"})),"**Mau P**Gorgon City**",IF(SUM(COUNTIF(H22,{"*Indie/Chill Dance*"})),"**Felix Jaehn**Lost Frequencies**",IF(SUM(COUNTIF(H22,{"*Piano*"})),"**Avicii**Eric Prydz**",IF(SUM(COUNTIF(H22,{"*EDM*"})),"**David Guetta**Swedish House Mafia**",IF(H22="","","")))))))</f>
        <v/>
      </c>
      <c r="AN22" s="20">
        <f>TRIM(SUBSTITUTE(SUBSTITUTE(SUBSTITUTE(A27,"&amp;",","),"feat",","),".",""))</f>
        <v/>
      </c>
      <c r="AO22" s="20">
        <f>IFERROR(_xlfn.TEXTBEFORE(AN22,","),AN22)</f>
        <v/>
      </c>
      <c r="AP22" s="20">
        <f>IFERROR(TRIM(SUBSTITUTE(SUBSTITUTE(SUBSTITUTE(SUBSTITUTE(_xlfn.TEXTAFTER(AN22,",",1),AQ22,""),AR22,""),AS22,""),",","")),"")</f>
        <v/>
      </c>
      <c r="AQ22" s="20">
        <f>IFERROR(SUBSTITUTE(SUBSTITUTE(SUBSTITUTE(_xlfn.TEXTAFTER(AN22,",",2),AR22,""),",",""),AS22,""),"")</f>
        <v/>
      </c>
      <c r="AR22" s="20">
        <f>IFERROR(SUBSTITUTE(SUBSTITUTE(_xlfn.TEXTAFTER(AN22,",",3),AS22,""),",",""),"")</f>
        <v/>
      </c>
      <c r="AS22" s="20">
        <f>IFERROR(_xlfn.TEXTAFTER(AN22,",",4),"")</f>
        <v/>
      </c>
      <c r="AV22" s="11" t="n">
        <v>1</v>
      </c>
      <c r="AW22" s="10" t="inlineStr">
        <is>
          <t>Lo-Fi</t>
        </is>
      </c>
      <c r="AX22" s="12" t="inlineStr">
        <is>
          <t>is back to deliver this Lo-Fi tune called ''''! Song would perfectly fit in any Lo-Fi mood playlist! Label will invest up to 5000 EUR advertising on facebook and instagram ads aswell as promoting it over label and label partners playlists, radio stations and press.</t>
        </is>
      </c>
      <c r="AY22">
        <f>+_xlfn.TEXTBEFORE(text_list[[#This Row],[Text]],"''''!",,0)</f>
        <v/>
      </c>
      <c r="AZ22">
        <f>+_xlfn.TEXTBEFORE(_xlfn.TEXTAFTER(text_list[[#This Row],[Text]],"'''!"),"Label")</f>
        <v/>
      </c>
      <c r="BA22">
        <f>+_xlfn.TEXTAFTER(text_list[[#This Row],[Text]],text_list[[#This Row],[Type based on genre]])</f>
        <v/>
      </c>
      <c r="BB22" t="inlineStr">
        <is>
          <t xml:space="preserve"> </t>
        </is>
      </c>
      <c r="BE22" t="inlineStr">
        <is>
          <t>**Germany**</t>
        </is>
      </c>
      <c r="BF22" t="inlineStr">
        <is>
          <t>Deep House</t>
        </is>
      </c>
      <c r="BG22">
        <f>+RAND()</f>
        <v/>
      </c>
      <c r="BJ22" t="inlineStr">
        <is>
          <t>**Germany**</t>
        </is>
      </c>
      <c r="BK22" t="inlineStr">
        <is>
          <t>Tech House</t>
        </is>
      </c>
      <c r="BL22">
        <f>+RAND()</f>
        <v/>
      </c>
      <c r="BN22" t="inlineStr">
        <is>
          <t>**Germany**</t>
        </is>
      </c>
      <c r="BO22" t="inlineStr">
        <is>
          <t>Piano House</t>
        </is>
      </c>
      <c r="BP22">
        <f>+RAND()</f>
        <v/>
      </c>
      <c r="BR22" t="inlineStr">
        <is>
          <t>**Germany**</t>
        </is>
      </c>
      <c r="BS22" t="inlineStr">
        <is>
          <t>Indie/Chill Dance</t>
        </is>
      </c>
      <c r="BT22">
        <f>+RAND()</f>
        <v/>
      </c>
      <c r="BV22" t="inlineStr">
        <is>
          <t>**Germany**</t>
        </is>
      </c>
      <c r="BW22" t="inlineStr">
        <is>
          <t>EDM</t>
        </is>
      </c>
      <c r="BX22">
        <f>+RAND()</f>
        <v/>
      </c>
    </row>
    <row r="23">
      <c r="A23" t="inlineStr">
        <is>
          <t>Brandon Study, flywtwo</t>
        </is>
      </c>
      <c r="B23" t="inlineStr">
        <is>
          <t>White Shadows</t>
        </is>
      </c>
      <c r="C23" t="inlineStr">
        <is>
          <t>Latvia</t>
        </is>
      </c>
      <c r="D23" t="inlineStr">
        <is>
          <t>February 10th, 2023</t>
        </is>
      </c>
      <c r="E23" t="inlineStr">
        <is>
          <t>10.02.2023</t>
        </is>
      </c>
      <c r="F23" s="3" t="n">
        <v>5063248034799</v>
      </c>
      <c r="G23" t="inlineStr">
        <is>
          <t>GX89G2347015</t>
        </is>
      </c>
      <c r="H23" t="inlineStr">
        <is>
          <t>Lo-Fi</t>
        </is>
      </c>
      <c r="I23" t="inlineStr">
        <is>
          <t>2</t>
        </is>
      </c>
      <c r="J23" t="inlineStr">
        <is>
          <t>26</t>
        </is>
      </c>
      <c r="K23" t="inlineStr">
        <is>
          <t>https://soundcloud.com/floatingbluerecords/brandon-study-flywtwo-white-shadows/s-6Tw8OaX2imv?si=9e010c7aa5ea421abc3a316204139d1b&amp;utm_source=clipboard&amp;utm_medium=text&amp;utm_campaign=social_sharing</t>
        </is>
      </c>
      <c r="L23" t="inlineStr">
        <is>
          <t>Floating Blue Records</t>
        </is>
      </c>
      <c r="M23" t="n">
        <v>2</v>
      </c>
      <c r="N23" t="inlineStr">
        <is>
          <t>Radio</t>
        </is>
      </c>
      <c r="O23">
        <f>IF(N23="Remix","Citas:Remix",IF(N23="Cover","Citas:Cover",IF(N23="Radio","Single",IF(N23="Radio/Extended","Single",""))))</f>
        <v/>
      </c>
      <c r="P23">
        <f>IF(M23=1,"High_Priority",IF(M23=2,"Priority",IF(M23=3,"General_Release",IF(M23=4,"General_Release",IF(M23="","")))))</f>
        <v/>
      </c>
      <c r="Q23">
        <f>IF(N23="Remix","Citas:Remix",IF(N23="Cover","Citas:Cover",IF(N23="Radio","Single",IF(N23="Radio/Extended","Single",""))))</f>
        <v/>
      </c>
      <c r="R23">
        <f t="array" ref="R23">IF(SUM(COUNTIF(H23,{"*Deep*";"*Bass*";"*Slap*"})),"Citas:Deep House",IF(SUM(COUNTIF(H23,{"*Lo-Fi*"})),"Citas:Lo-Fi",IF(SUM(COUNTIF(H23,{"*Tech*"})),"Citas:Tech House",IF(SUM(COUNTIF(H23,{"*Indie/Chill Dance*"})),"Citas:Indie/Chill Dance",IF(SUM(COUNTIF(H23,{"*Piano*"})),"Citas:Piano House",IF(SUM(COUNTIF(H23,{"*EDM*"})),"edm dance",IF(H23="","","")))))))</f>
        <v/>
      </c>
      <c r="S23">
        <f t="array" ref="S23">IF(SUM(COUNTIF(H23,{"*Deep*";"*Bass*";"*Slap*"})),"energetic",IF(SUM(COUNTIF(H23,{"*Lo-Fi*"})),"calm",IF(SUM(COUNTIF(H23,{"*Tech*"})),"energetic",IF(SUM(COUNTIF(H23,{"*Indie/Chill Dance*"})),"chillout",IF(SUM(COUNTIF(H23,{"*Piano*"})),"energetic",IF(SUM(COUNTIF(H23,{"*EDM*"})),"energetic",IF(H23="","","")))))))</f>
        <v/>
      </c>
      <c r="T23">
        <f t="array" ref="T23">IF(SUM(COUNTIF(H23,{"*Tech*";"*EDM*";"*Indie*";"*Deep*";"*Piano*";"*Slap*";"*Brazilian Bass*"})),"Song would perfectly fit in any dance mood playlist! Label will invest up to 5000 EUR advertising on facebook and instagram ads aswell as promoting it over label and label partners playlists, radio stations and press.",IF(SUM(COUNTIF(H23,{"*Lo-Fi*"})),"Song would perfectly fit in any Lo-Fi mood playlist! Label will invest up to 5000 EUR advertising on facebook and instagram ads aswell as promoting it over label and label partners playlists, radio stations and press.",IF(H23="","","")))</f>
        <v/>
      </c>
      <c r="U23">
        <f>IF(N23="Cover","SGL",IF(N23="Radio","SGL",IF(N23="Remix","RMX",IF(N23="","","SGL"))))</f>
        <v/>
      </c>
      <c r="V23">
        <f>IF(L23="Floating Blue Records","Instrumental only",IF(L23="Day Dose Of House","Electronic, Dance, Deep House",""))</f>
        <v/>
      </c>
      <c r="X23">
        <f t="array" aca="1" ref="X23" ca="1">+IF(H23="LO-FI","",IFERROR(INDEX(INDIRECT((_xlfn.XLOOKUP(H23,map_location[Genre],map_location[location]))),RANK(INDIRECT((_xlfn.XLOOKUP(H23,map_location[Genre],map_location[min])),FALSE),INDIRECT((_xlfn.XLOOKUP(H23,map_location[Genre],map_location[rand]))),1)),""))</f>
        <v/>
      </c>
      <c r="Y23">
        <f t="array" ref="Y23">IF(SUM(COUNTIF(H23,{"*Deep*";"*Bass*";"*Slap*"})),"**Deep House**House**Dance**",IF(SUM(COUNTIF(H23,{"*Lo-Fi*"})),"**Lo-Fi Pop**Lo-Fi Beats**Lo-Fi**",IF(SUM(COUNTIF(H23,{"*Tech*"})),"**Deep House**Tech House**Dance**",IF(SUM(COUNTIF(H23,{"*Indie/Chill Dance*"})),"**Indie Dance**Indie Electronic**Dance Pop**",IF(SUM(COUNTIF(H23,{"*Piano*"})),"**House**Electro house**Melodic House**",IF(SUM(COUNTIF(H23,{"*EDM*"})),"**EDM**Electro house**Dance Pop**",IF(H23="","","")))))))</f>
        <v/>
      </c>
      <c r="Z23">
        <f t="array" ref="Z23">IF(SUM(COUNTIF(H23,{"*Deep*";"*Bass*";"*Slap*"})),"Energetic,Happy",IF(SUM(COUNTIF(H23,{"*Lo-Fi*"})),"Romantic,Chill",IF(SUM(COUNTIF(H23,{"*Tech*"})),"Energetic,Happy",IF(SUM(COUNTIF(H23,{"*Indie/Chill Dance*"})),"Energetic,Chill",IF(SUM(COUNTIF(H23,{"*Piano*"})),"Energetic,Happy",IF(SUM(COUNTIF(H23,{"*EDM*"})),"Energetic,Happy",IF(H23="","","")))))))</f>
        <v/>
      </c>
      <c r="AA23">
        <f t="array" ref="AA23">IF(SUM(COUNTIF(H23,{"*Deep*";"*Bass*";"*Slap*"})),"None of these",IF(SUM(COUNTIF(H23,{"*Lo-Fi*"})),"Holiday,Beats",IF(SUM(COUNTIF(H23,{"*Tech*"})),"None of these",IF(SUM(COUNTIF(H23,{"*Indie/Chill Dance*"})),"None of these",IF(SUM(COUNTIF(H23,{"*Piano*"})),"None of these",IF(SUM(COUNTIF(H23,{"*EDM*"})),"None of these",IF(H23="","","")))))))</f>
        <v/>
      </c>
      <c r="AB23">
        <f t="array" ref="AB23">IF(SUM(COUNTIF(H23,{"*Deep*";"*Bass*";"*Slap*"})),"Samples,Synthesizer,Bass Guitar,Piano,Drum Kit,Electric Guitar",IF(SUM(COUNTIF(H23,{"*Lo-Fi*"})),"Samples,Synthesizer,Bass Guitar,Piano,Drum Kit,Electric Guitar",IF(SUM(COUNTIF(H23,{"*Tech*"})),"Samples,Synthesizer,Bass Guitar,Piano,Drum Kit,Electric Guitar",IF(SUM(COUNTIF(H23,{"*Indie/Chill Dance*"})),"Samples,Synthesizer,Bass Guitar,Piano,Drum Kit,Electric Guitar",IF(SUM(COUNTIF(H23,{"*Piano*"})),"Samples,Synthesizer,Bass Guitar,Piano,Drum Kit,Electric Guitar",IF(SUM(COUNTIF(H23,{"*EDM*"})),"Samples,Synthesizer,Bass Guitar,Piano,Drum Kit,Electric Guitar",IF(H23="","","")))))))</f>
        <v/>
      </c>
      <c r="AC23">
        <f t="array" ref="AC23">IF(N23="Cover","Yes",IF(SUM(COUNTIF(N23,{"*Radio/Extended*";"*Radio*";"*Remix*"})),"No",""))</f>
        <v/>
      </c>
      <c r="AD23">
        <f t="array" ref="AD23">IF(N23="Remix","Yes",IF(SUM(COUNTIF(N23,{"*Radio/Extended*";"*Radio*";"*Cover*"})),"No",""))</f>
        <v/>
      </c>
      <c r="AE23">
        <f>IF(ISTEXT(A23),"**English**","")</f>
        <v/>
      </c>
      <c r="AF23">
        <f t="array" aca="1" ref="AF23" ca="1">+TRIM(SUBSTITUTE(SUBSTITUTE(SUBSTITUTE(SUBSTITUTE(IFERROR(AO23&amp;" "&amp;+_xlfn.XLOOKUP(((SUM(LEN(AN23))-SUM(LEN(SUBSTITUTE(AN23,",",""))))/LEN(",")+1)&amp;H23,AV:AV&amp;AW:AW,AY:AY)&amp;CHAR(34)&amp;B23&amp;CHAR(34)&amp;"!"&amp;_xlfn.XLOOKUP(H23,text_list[Genre],text_list[Type based on genre]&amp;text_list[Label]),""),"Second",AP23),"Third",AQ23),"Forth",AR23),"Fifth",AS23&amp;" "))</f>
        <v/>
      </c>
      <c r="AH23">
        <f>IF(N28="Remix","Remix",IF(N28="Cover","Cover",IF(N28="Radio","Single",IF(N28="Radio/Extended","Original",""))))</f>
        <v/>
      </c>
      <c r="AI23">
        <f t="array" ref="AI23">IF(SUM(COUNTIF(H23,{"*Deep*";"*Bass*";"*Slap*"})),"**Tiësto**Imanbek**",IF(SUM(COUNTIF(H23,{"*Lo-Fi*"})),"**L.Dre**Yasumu**",IF(SUM(COUNTIF(H23,{"*Tech*"})),"**Mau P**Gorgon City**",IF(SUM(COUNTIF(H23,{"*Indie/Chill Dance*"})),"**Felix Jaehn**Lost Frequencies**",IF(SUM(COUNTIF(H23,{"*Piano*"})),"**Avicii**Eric Prydz**",IF(SUM(COUNTIF(H23,{"*EDM*"})),"**David Guetta**Swedish House Mafia**",IF(H23="","","")))))))</f>
        <v/>
      </c>
      <c r="AN23" s="20">
        <f>TRIM(SUBSTITUTE(SUBSTITUTE(SUBSTITUTE(A28,"&amp;",","),"feat",","),".",""))</f>
        <v/>
      </c>
      <c r="AO23" s="20">
        <f>IFERROR(_xlfn.TEXTBEFORE(AN23,","),AN23)</f>
        <v/>
      </c>
      <c r="AP23" s="20">
        <f>IFERROR(TRIM(SUBSTITUTE(SUBSTITUTE(SUBSTITUTE(SUBSTITUTE(_xlfn.TEXTAFTER(AN23,",",1),AQ23,""),AR23,""),AS23,""),",","")),"")</f>
        <v/>
      </c>
      <c r="AQ23" s="20">
        <f>IFERROR(SUBSTITUTE(SUBSTITUTE(SUBSTITUTE(_xlfn.TEXTAFTER(AN23,",",2),AR23,""),",",""),AS23,""),"")</f>
        <v/>
      </c>
      <c r="AR23" s="20">
        <f>IFERROR(SUBSTITUTE(SUBSTITUTE(_xlfn.TEXTAFTER(AN23,",",3),AS23,""),",",""),"")</f>
        <v/>
      </c>
      <c r="AS23" s="20">
        <f>IFERROR(_xlfn.TEXTAFTER(AN23,",",4),"")</f>
        <v/>
      </c>
      <c r="AV23" s="11" t="n">
        <v>2</v>
      </c>
      <c r="AW23" s="10" t="inlineStr">
        <is>
          <t>Lo-Fi</t>
        </is>
      </c>
      <c r="AX23" s="12" t="inlineStr">
        <is>
          <t>teamed up with Second to deliver this Lo-Fi tune called ''''! Song would perfectly fit in any Lo-Fi mood playlist! Label will invest up to 5000 EUR advertising on facebook and instagram ads aswell as promoting it over label and label partners playlists, radio stations and press.</t>
        </is>
      </c>
      <c r="AY23">
        <f>+_xlfn.TEXTBEFORE(text_list[[#This Row],[Text]],"''''!",,0)</f>
        <v/>
      </c>
      <c r="AZ23">
        <f>+_xlfn.TEXTBEFORE(_xlfn.TEXTAFTER(text_list[[#This Row],[Text]],"'''!"),"Label")</f>
        <v/>
      </c>
      <c r="BA23">
        <f>+_xlfn.TEXTAFTER(text_list[[#This Row],[Text]],text_list[[#This Row],[Type based on genre]])</f>
        <v/>
      </c>
      <c r="BB23" t="inlineStr">
        <is>
          <t xml:space="preserve"> </t>
        </is>
      </c>
      <c r="BE23" t="inlineStr">
        <is>
          <t>**France**</t>
        </is>
      </c>
      <c r="BF23" t="inlineStr">
        <is>
          <t>Deep House</t>
        </is>
      </c>
      <c r="BG23">
        <f>+RAND()</f>
        <v/>
      </c>
      <c r="BJ23" t="inlineStr">
        <is>
          <t>**France**</t>
        </is>
      </c>
      <c r="BK23" t="inlineStr">
        <is>
          <t>Tech House</t>
        </is>
      </c>
      <c r="BL23">
        <f>+RAND()</f>
        <v/>
      </c>
      <c r="BN23" t="inlineStr">
        <is>
          <t>**France**</t>
        </is>
      </c>
      <c r="BO23" t="inlineStr">
        <is>
          <t>Piano House</t>
        </is>
      </c>
      <c r="BP23">
        <f>+RAND()</f>
        <v/>
      </c>
      <c r="BR23" t="inlineStr">
        <is>
          <t>**France**</t>
        </is>
      </c>
      <c r="BS23" t="inlineStr">
        <is>
          <t>Indie/Chill Dance</t>
        </is>
      </c>
      <c r="BT23">
        <f>+RAND()</f>
        <v/>
      </c>
      <c r="BV23" t="inlineStr">
        <is>
          <t>**France**</t>
        </is>
      </c>
      <c r="BW23" t="inlineStr">
        <is>
          <t>EDM</t>
        </is>
      </c>
      <c r="BX23">
        <f>+RAND()</f>
        <v/>
      </c>
    </row>
    <row r="24">
      <c r="A24" t="inlineStr">
        <is>
          <t>Brandon Study, flywtwo</t>
        </is>
      </c>
      <c r="B24" t="inlineStr">
        <is>
          <t>White Shadows</t>
        </is>
      </c>
      <c r="C24" t="inlineStr">
        <is>
          <t>Latvia</t>
        </is>
      </c>
      <c r="D24" t="inlineStr">
        <is>
          <t>February 10th, 2023</t>
        </is>
      </c>
      <c r="E24" t="inlineStr">
        <is>
          <t>10.02.2023</t>
        </is>
      </c>
      <c r="F24" s="3" t="n">
        <v>5063248034799</v>
      </c>
      <c r="G24" t="inlineStr">
        <is>
          <t>GX89G2347015</t>
        </is>
      </c>
      <c r="H24" t="inlineStr">
        <is>
          <t>Lo-Fi</t>
        </is>
      </c>
      <c r="I24" t="inlineStr">
        <is>
          <t>2</t>
        </is>
      </c>
      <c r="J24" t="inlineStr">
        <is>
          <t>26</t>
        </is>
      </c>
      <c r="K24" t="inlineStr">
        <is>
          <t>https://soundcloud.com/floatingbluerecords/brandon-study-flywtwo-white-shadows/s-6Tw8OaX2imv?si=9e010c7aa5ea421abc3a316204139d1b&amp;utm_source=clipboard&amp;utm_medium=text&amp;utm_campaign=social_sharing</t>
        </is>
      </c>
      <c r="L24" t="inlineStr">
        <is>
          <t>Floating Blue Records</t>
        </is>
      </c>
      <c r="M24" t="n">
        <v>2</v>
      </c>
      <c r="N24" t="inlineStr">
        <is>
          <t>Radio</t>
        </is>
      </c>
      <c r="O24">
        <f>IF(N24="Remix","Citas:Remix",IF(N24="Cover","Citas:Cover",IF(N24="Radio","Single",IF(N24="Radio/Extended","Single",""))))</f>
        <v/>
      </c>
      <c r="P24">
        <f>IF(M24=1,"High_Priority",IF(M24=2,"Priority",IF(M24=3,"General_Release",IF(M24=4,"General_Release",IF(M24="","")))))</f>
        <v/>
      </c>
      <c r="Q24">
        <f>IF(N24="Remix","Citas:Remix",IF(N24="Cover","Citas:Cover",IF(N24="Radio","Single",IF(N24="Radio/Extended","Single",""))))</f>
        <v/>
      </c>
      <c r="R24">
        <f t="array" ref="R24">IF(SUM(COUNTIF(H24,{"*Deep*";"*Bass*";"*Slap*"})),"Citas:Deep House",IF(SUM(COUNTIF(H24,{"*Lo-Fi*"})),"Citas:Lo-Fi",IF(SUM(COUNTIF(H24,{"*Tech*"})),"Citas:Tech House",IF(SUM(COUNTIF(H24,{"*Indie/Chill Dance*"})),"Citas:Indie/Chill Dance",IF(SUM(COUNTIF(H24,{"*Piano*"})),"Citas:Piano House",IF(SUM(COUNTIF(H24,{"*EDM*"})),"edm dance",IF(H24="","","")))))))</f>
        <v/>
      </c>
      <c r="S24">
        <f t="array" ref="S24">IF(SUM(COUNTIF(H24,{"*Deep*";"*Bass*";"*Slap*"})),"energetic",IF(SUM(COUNTIF(H24,{"*Lo-Fi*"})),"calm",IF(SUM(COUNTIF(H24,{"*Tech*"})),"energetic",IF(SUM(COUNTIF(H24,{"*Indie/Chill Dance*"})),"chillout",IF(SUM(COUNTIF(H24,{"*Piano*"})),"energetic",IF(SUM(COUNTIF(H24,{"*EDM*"})),"energetic",IF(H24="","","")))))))</f>
        <v/>
      </c>
      <c r="T24">
        <f t="array" ref="T24">IF(SUM(COUNTIF(H24,{"*Tech*";"*EDM*";"*Indie*";"*Deep*";"*Piano*";"*Slap*";"*Brazilian Bass*"})),"Song would perfectly fit in any dance mood playlist! Label will invest up to 5000 EUR advertising on facebook and instagram ads aswell as promoting it over label and label partners playlists, radio stations and press.",IF(SUM(COUNTIF(H24,{"*Lo-Fi*"})),"Song would perfectly fit in any Lo-Fi mood playlist! Label will invest up to 5000 EUR advertising on facebook and instagram ads aswell as promoting it over label and label partners playlists, radio stations and press.",IF(H24="","","")))</f>
        <v/>
      </c>
      <c r="U24">
        <f>IF(N24="Cover","SGL",IF(N24="Radio","SGL",IF(N24="Remix","RMX",IF(N24="","","SGL"))))</f>
        <v/>
      </c>
      <c r="V24">
        <f>IF(L24="Floating Blue Records","Instrumental only",IF(L24="Day Dose Of House","Electronic, Dance, Deep House",""))</f>
        <v/>
      </c>
      <c r="X24">
        <f t="array" aca="1" ref="X24" ca="1">+IF(H24="LO-FI","",IFERROR(INDEX(INDIRECT((_xlfn.XLOOKUP(H24,map_location[Genre],map_location[location]))),RANK(INDIRECT((_xlfn.XLOOKUP(H24,map_location[Genre],map_location[min])),FALSE),INDIRECT((_xlfn.XLOOKUP(H24,map_location[Genre],map_location[rand]))),1)),""))</f>
        <v/>
      </c>
      <c r="Y24">
        <f t="array" ref="Y24">IF(SUM(COUNTIF(H24,{"*Deep*";"*Bass*";"*Slap*"})),"**Deep House**House**Dance**",IF(SUM(COUNTIF(H24,{"*Lo-Fi*"})),"**Lo-Fi Pop**Lo-Fi Beats**Lo-Fi**",IF(SUM(COUNTIF(H24,{"*Tech*"})),"**Deep House**Tech House**Dance**",IF(SUM(COUNTIF(H24,{"*Indie/Chill Dance*"})),"**Indie Dance**Indie Electronic**Dance Pop**",IF(SUM(COUNTIF(H24,{"*Piano*"})),"**House**Electro house**Melodic House**",IF(SUM(COUNTIF(H24,{"*EDM*"})),"**EDM**Electro house**Dance Pop**",IF(H24="","","")))))))</f>
        <v/>
      </c>
      <c r="Z24">
        <f t="array" ref="Z24">IF(SUM(COUNTIF(H24,{"*Deep*";"*Bass*";"*Slap*"})),"Energetic,Happy",IF(SUM(COUNTIF(H24,{"*Lo-Fi*"})),"Romantic,Chill",IF(SUM(COUNTIF(H24,{"*Tech*"})),"Energetic,Happy",IF(SUM(COUNTIF(H24,{"*Indie/Chill Dance*"})),"Energetic,Chill",IF(SUM(COUNTIF(H24,{"*Piano*"})),"Energetic,Happy",IF(SUM(COUNTIF(H24,{"*EDM*"})),"Energetic,Happy",IF(H24="","","")))))))</f>
        <v/>
      </c>
      <c r="AA24">
        <f t="array" ref="AA24">IF(SUM(COUNTIF(H24,{"*Deep*";"*Bass*";"*Slap*"})),"None of these",IF(SUM(COUNTIF(H24,{"*Lo-Fi*"})),"Holiday,Beats",IF(SUM(COUNTIF(H24,{"*Tech*"})),"None of these",IF(SUM(COUNTIF(H24,{"*Indie/Chill Dance*"})),"None of these",IF(SUM(COUNTIF(H24,{"*Piano*"})),"None of these",IF(SUM(COUNTIF(H24,{"*EDM*"})),"None of these",IF(H24="","","")))))))</f>
        <v/>
      </c>
      <c r="AB24">
        <f t="array" ref="AB24">IF(SUM(COUNTIF(H24,{"*Deep*";"*Bass*";"*Slap*"})),"Samples,Synthesizer,Bass Guitar,Piano,Drum Kit,Electric Guitar",IF(SUM(COUNTIF(H24,{"*Lo-Fi*"})),"Samples,Synthesizer,Bass Guitar,Piano,Drum Kit,Electric Guitar",IF(SUM(COUNTIF(H24,{"*Tech*"})),"Samples,Synthesizer,Bass Guitar,Piano,Drum Kit,Electric Guitar",IF(SUM(COUNTIF(H24,{"*Indie/Chill Dance*"})),"Samples,Synthesizer,Bass Guitar,Piano,Drum Kit,Electric Guitar",IF(SUM(COUNTIF(H24,{"*Piano*"})),"Samples,Synthesizer,Bass Guitar,Piano,Drum Kit,Electric Guitar",IF(SUM(COUNTIF(H24,{"*EDM*"})),"Samples,Synthesizer,Bass Guitar,Piano,Drum Kit,Electric Guitar",IF(H24="","","")))))))</f>
        <v/>
      </c>
      <c r="AC24">
        <f t="array" ref="AC24">IF(N24="Cover","Yes",IF(SUM(COUNTIF(N24,{"*Radio/Extended*";"*Radio*";"*Remix*"})),"No",""))</f>
        <v/>
      </c>
      <c r="AD24">
        <f t="array" ref="AD24">IF(N24="Remix","Yes",IF(SUM(COUNTIF(N24,{"*Radio/Extended*";"*Radio*";"*Cover*"})),"No",""))</f>
        <v/>
      </c>
      <c r="AE24">
        <f>IF(ISTEXT(A24),"**English**","")</f>
        <v/>
      </c>
      <c r="AF24">
        <f t="array" aca="1" ref="AF24" ca="1">+TRIM(SUBSTITUTE(SUBSTITUTE(SUBSTITUTE(SUBSTITUTE(IFERROR(AO24&amp;" "&amp;+_xlfn.XLOOKUP(((SUM(LEN(AN24))-SUM(LEN(SUBSTITUTE(AN24,",",""))))/LEN(",")+1)&amp;H24,AV:AV&amp;AW:AW,AY:AY)&amp;CHAR(34)&amp;B24&amp;CHAR(34)&amp;"!"&amp;_xlfn.XLOOKUP(H24,text_list[Genre],text_list[Type based on genre]&amp;text_list[Label]),""),"Second",AP24),"Third",AQ24),"Forth",AR24),"Fifth",AS24&amp;" "))</f>
        <v/>
      </c>
      <c r="AH24">
        <f>IF(N29="Remix","Remix",IF(N29="Cover","Cover",IF(N29="Radio","Single",IF(N29="Radio/Extended","Original",""))))</f>
        <v/>
      </c>
      <c r="AI24">
        <f t="array" ref="AI24">IF(SUM(COUNTIF(H24,{"*Deep*";"*Bass*";"*Slap*"})),"**Tiësto**Imanbek**",IF(SUM(COUNTIF(H24,{"*Lo-Fi*"})),"**L.Dre**Yasumu**",IF(SUM(COUNTIF(H24,{"*Tech*"})),"**Mau P**Gorgon City**",IF(SUM(COUNTIF(H24,{"*Indie/Chill Dance*"})),"**Felix Jaehn**Lost Frequencies**",IF(SUM(COUNTIF(H24,{"*Piano*"})),"**Avicii**Eric Prydz**",IF(SUM(COUNTIF(H24,{"*EDM*"})),"**David Guetta**Swedish House Mafia**",IF(H24="","","")))))))</f>
        <v/>
      </c>
      <c r="AN24" s="20">
        <f>TRIM(SUBSTITUTE(SUBSTITUTE(SUBSTITUTE(A29,"&amp;",","),"feat",","),".",""))</f>
        <v/>
      </c>
      <c r="AO24" s="20">
        <f>IFERROR(_xlfn.TEXTBEFORE(AN24,","),AN24)</f>
        <v/>
      </c>
      <c r="AP24" s="20">
        <f>IFERROR(TRIM(SUBSTITUTE(SUBSTITUTE(SUBSTITUTE(SUBSTITUTE(_xlfn.TEXTAFTER(AN24,",",1),AQ24,""),AR24,""),AS24,""),",","")),"")</f>
        <v/>
      </c>
      <c r="AQ24" s="20">
        <f>IFERROR(SUBSTITUTE(SUBSTITUTE(SUBSTITUTE(_xlfn.TEXTAFTER(AN24,",",2),AR24,""),",",""),AS24,""),"")</f>
        <v/>
      </c>
      <c r="AR24" s="20">
        <f>IFERROR(SUBSTITUTE(SUBSTITUTE(_xlfn.TEXTAFTER(AN24,",",3),AS24,""),",",""),"")</f>
        <v/>
      </c>
      <c r="AS24" s="20">
        <f>IFERROR(_xlfn.TEXTAFTER(AN24,",",4),"")</f>
        <v/>
      </c>
      <c r="AV24" s="11" t="n">
        <v>3</v>
      </c>
      <c r="AW24" s="10" t="inlineStr">
        <is>
          <t>Lo-Fi</t>
        </is>
      </c>
      <c r="AX24" s="12" t="inlineStr">
        <is>
          <t>teamed up with Second and Third to deliver this Lo-Fi tune called ''''! Song would perfectly fit in any Lo-Fi mood playlist! Label will invest up to 5000 EUR advertising on facebook and instagram ads aswell as promoting it over label and label partners playlists, radio stations and press.</t>
        </is>
      </c>
      <c r="AY24">
        <f>+_xlfn.TEXTBEFORE(text_list[[#This Row],[Text]],"''''!",,0)</f>
        <v/>
      </c>
      <c r="AZ24">
        <f>+_xlfn.TEXTBEFORE(_xlfn.TEXTAFTER(text_list[[#This Row],[Text]],"'''!"),"Label")</f>
        <v/>
      </c>
      <c r="BA24">
        <f>+_xlfn.TEXTAFTER(text_list[[#This Row],[Text]],text_list[[#This Row],[Type based on genre]])</f>
        <v/>
      </c>
      <c r="BB24" t="inlineStr">
        <is>
          <t xml:space="preserve"> </t>
        </is>
      </c>
      <c r="BE24" t="inlineStr">
        <is>
          <t>**Brasil**</t>
        </is>
      </c>
      <c r="BF24" t="inlineStr">
        <is>
          <t>Deep House</t>
        </is>
      </c>
      <c r="BG24">
        <f>+RAND()</f>
        <v/>
      </c>
      <c r="BJ24" t="inlineStr">
        <is>
          <t>**Brasil**</t>
        </is>
      </c>
      <c r="BK24" t="inlineStr">
        <is>
          <t>Tech House</t>
        </is>
      </c>
      <c r="BL24">
        <f>+RAND()</f>
        <v/>
      </c>
      <c r="BN24" t="inlineStr">
        <is>
          <t>**Brasil**</t>
        </is>
      </c>
      <c r="BO24" t="inlineStr">
        <is>
          <t>Piano House</t>
        </is>
      </c>
      <c r="BP24">
        <f>+RAND()</f>
        <v/>
      </c>
      <c r="BR24" t="inlineStr">
        <is>
          <t>**Brasil**</t>
        </is>
      </c>
      <c r="BS24" t="inlineStr">
        <is>
          <t>Indie/Chill Dance</t>
        </is>
      </c>
      <c r="BT24">
        <f>+RAND()</f>
        <v/>
      </c>
      <c r="BV24" t="inlineStr">
        <is>
          <t>**Brasil**</t>
        </is>
      </c>
      <c r="BW24" t="inlineStr">
        <is>
          <t>EDM</t>
        </is>
      </c>
      <c r="BX24">
        <f>+RAND()</f>
        <v/>
      </c>
    </row>
    <row r="25">
      <c r="A25" t="inlineStr">
        <is>
          <t>Brandon Study, flywtwo</t>
        </is>
      </c>
      <c r="B25" t="inlineStr">
        <is>
          <t>White Shadows</t>
        </is>
      </c>
      <c r="C25" t="inlineStr">
        <is>
          <t>Latvia</t>
        </is>
      </c>
      <c r="D25" t="inlineStr">
        <is>
          <t>February 10th, 2023</t>
        </is>
      </c>
      <c r="E25" t="inlineStr">
        <is>
          <t>10.02.2023</t>
        </is>
      </c>
      <c r="F25" s="3" t="n">
        <v>5063248034799</v>
      </c>
      <c r="G25" t="inlineStr">
        <is>
          <t>GX89G2347015</t>
        </is>
      </c>
      <c r="H25" t="inlineStr">
        <is>
          <t>Lo-Fi</t>
        </is>
      </c>
      <c r="I25" t="inlineStr">
        <is>
          <t>2</t>
        </is>
      </c>
      <c r="J25" t="inlineStr">
        <is>
          <t>26</t>
        </is>
      </c>
      <c r="K25" t="inlineStr">
        <is>
          <t>https://soundcloud.com/floatingbluerecords/brandon-study-flywtwo-white-shadows/s-6Tw8OaX2imv?si=9e010c7aa5ea421abc3a316204139d1b&amp;utm_source=clipboard&amp;utm_medium=text&amp;utm_campaign=social_sharing</t>
        </is>
      </c>
      <c r="L25" t="inlineStr">
        <is>
          <t>Floating Blue Records</t>
        </is>
      </c>
      <c r="M25" t="n">
        <v>2</v>
      </c>
      <c r="N25" t="inlineStr">
        <is>
          <t>Radio</t>
        </is>
      </c>
      <c r="O25">
        <f>IF(N25="Remix","Citas:Remix",IF(N25="Cover","Citas:Cover",IF(N25="Radio","Single",IF(N25="Radio/Extended","Single",""))))</f>
        <v/>
      </c>
      <c r="P25">
        <f>IF(M25=1,"High_Priority",IF(M25=2,"Priority",IF(M25=3,"General_Release",IF(M25=4,"General_Release",IF(M25="","")))))</f>
        <v/>
      </c>
      <c r="Q25">
        <f>IF(N25="Remix","Citas:Remix",IF(N25="Cover","Citas:Cover",IF(N25="Radio","Single",IF(N25="Radio/Extended","Single",""))))</f>
        <v/>
      </c>
      <c r="R25">
        <f t="array" ref="R25">IF(SUM(COUNTIF(H25,{"*Deep*";"*Bass*";"*Slap*"})),"Citas:Deep House",IF(SUM(COUNTIF(H25,{"*Lo-Fi*"})),"Citas:Lo-Fi",IF(SUM(COUNTIF(H25,{"*Tech*"})),"Citas:Tech House",IF(SUM(COUNTIF(H25,{"*Indie/Chill Dance*"})),"Citas:Indie/Chill Dance",IF(SUM(COUNTIF(H25,{"*Piano*"})),"Citas:Piano House",IF(SUM(COUNTIF(H25,{"*EDM*"})),"edm dance",IF(H25="","","")))))))</f>
        <v/>
      </c>
      <c r="S25">
        <f t="array" ref="S25">IF(SUM(COUNTIF(H25,{"*Deep*";"*Bass*";"*Slap*"})),"energetic",IF(SUM(COUNTIF(H25,{"*Lo-Fi*"})),"calm",IF(SUM(COUNTIF(H25,{"*Tech*"})),"energetic",IF(SUM(COUNTIF(H25,{"*Indie/Chill Dance*"})),"chillout",IF(SUM(COUNTIF(H25,{"*Piano*"})),"energetic",IF(SUM(COUNTIF(H25,{"*EDM*"})),"energetic",IF(H25="","","")))))))</f>
        <v/>
      </c>
      <c r="T25">
        <f t="array" ref="T25">IF(SUM(COUNTIF(H25,{"*Tech*";"*EDM*";"*Indie*";"*Deep*";"*Piano*";"*Slap*";"*Brazilian Bass*"})),"Song would perfectly fit in any dance mood playlist! Label will invest up to 5000 EUR advertising on facebook and instagram ads aswell as promoting it over label and label partners playlists, radio stations and press.",IF(SUM(COUNTIF(H25,{"*Lo-Fi*"})),"Song would perfectly fit in any Lo-Fi mood playlist! Label will invest up to 5000 EUR advertising on facebook and instagram ads aswell as promoting it over label and label partners playlists, radio stations and press.",IF(H25="","","")))</f>
        <v/>
      </c>
      <c r="U25">
        <f>IF(N25="Cover","SGL",IF(N25="Radio","SGL",IF(N25="Remix","RMX",IF(N25="","","SGL"))))</f>
        <v/>
      </c>
      <c r="V25">
        <f>IF(L25="Floating Blue Records","Instrumental only",IF(L25="Day Dose Of House","Electronic, Dance, Deep House",""))</f>
        <v/>
      </c>
      <c r="X25">
        <f t="array" aca="1" ref="X25" ca="1">+IF(H25="LO-FI","",IFERROR(INDEX(INDIRECT((_xlfn.XLOOKUP(H25,map_location[Genre],map_location[location]))),RANK(INDIRECT((_xlfn.XLOOKUP(H25,map_location[Genre],map_location[min])),FALSE),INDIRECT((_xlfn.XLOOKUP(H25,map_location[Genre],map_location[rand]))),1)),""))</f>
        <v/>
      </c>
      <c r="Y25">
        <f t="array" ref="Y25">IF(SUM(COUNTIF(H25,{"*Deep*";"*Bass*";"*Slap*"})),"**Deep House**House**Dance**",IF(SUM(COUNTIF(H25,{"*Lo-Fi*"})),"**Lo-Fi Pop**Lo-Fi Beats**Lo-Fi**",IF(SUM(COUNTIF(H25,{"*Tech*"})),"**Deep House**Tech House**Dance**",IF(SUM(COUNTIF(H25,{"*Indie/Chill Dance*"})),"**Indie Dance**Indie Electronic**Dance Pop**",IF(SUM(COUNTIF(H25,{"*Piano*"})),"**House**Electro house**Melodic House**",IF(SUM(COUNTIF(H25,{"*EDM*"})),"**EDM**Electro house**Dance Pop**",IF(H25="","","")))))))</f>
        <v/>
      </c>
      <c r="Z25">
        <f t="array" ref="Z25">IF(SUM(COUNTIF(H25,{"*Deep*";"*Bass*";"*Slap*"})),"Energetic,Happy",IF(SUM(COUNTIF(H25,{"*Lo-Fi*"})),"Romantic,Chill",IF(SUM(COUNTIF(H25,{"*Tech*"})),"Energetic,Happy",IF(SUM(COUNTIF(H25,{"*Indie/Chill Dance*"})),"Energetic,Chill",IF(SUM(COUNTIF(H25,{"*Piano*"})),"Energetic,Happy",IF(SUM(COUNTIF(H25,{"*EDM*"})),"Energetic,Happy",IF(H25="","","")))))))</f>
        <v/>
      </c>
      <c r="AA25">
        <f t="array" ref="AA25">IF(SUM(COUNTIF(H25,{"*Deep*";"*Bass*";"*Slap*"})),"None of these",IF(SUM(COUNTIF(H25,{"*Lo-Fi*"})),"Holiday,Beats",IF(SUM(COUNTIF(H25,{"*Tech*"})),"None of these",IF(SUM(COUNTIF(H25,{"*Indie/Chill Dance*"})),"None of these",IF(SUM(COUNTIF(H25,{"*Piano*"})),"None of these",IF(SUM(COUNTIF(H25,{"*EDM*"})),"None of these",IF(H25="","","")))))))</f>
        <v/>
      </c>
      <c r="AB25">
        <f t="array" ref="AB25">IF(SUM(COUNTIF(H25,{"*Deep*";"*Bass*";"*Slap*"})),"Samples,Synthesizer,Bass Guitar,Piano,Drum Kit,Electric Guitar",IF(SUM(COUNTIF(H25,{"*Lo-Fi*"})),"Samples,Synthesizer,Bass Guitar,Piano,Drum Kit,Electric Guitar",IF(SUM(COUNTIF(H25,{"*Tech*"})),"Samples,Synthesizer,Bass Guitar,Piano,Drum Kit,Electric Guitar",IF(SUM(COUNTIF(H25,{"*Indie/Chill Dance*"})),"Samples,Synthesizer,Bass Guitar,Piano,Drum Kit,Electric Guitar",IF(SUM(COUNTIF(H25,{"*Piano*"})),"Samples,Synthesizer,Bass Guitar,Piano,Drum Kit,Electric Guitar",IF(SUM(COUNTIF(H25,{"*EDM*"})),"Samples,Synthesizer,Bass Guitar,Piano,Drum Kit,Electric Guitar",IF(H25="","","")))))))</f>
        <v/>
      </c>
      <c r="AC25">
        <f t="array" ref="AC25">IF(N25="Cover","Yes",IF(SUM(COUNTIF(N25,{"*Radio/Extended*";"*Radio*";"*Remix*"})),"No",""))</f>
        <v/>
      </c>
      <c r="AD25">
        <f t="array" ref="AD25">IF(N25="Remix","Yes",IF(SUM(COUNTIF(N25,{"*Radio/Extended*";"*Radio*";"*Cover*"})),"No",""))</f>
        <v/>
      </c>
      <c r="AE25">
        <f>IF(ISTEXT(A25),"**English**","")</f>
        <v/>
      </c>
      <c r="AF25">
        <f t="array" aca="1" ref="AF25" ca="1">+TRIM(SUBSTITUTE(SUBSTITUTE(SUBSTITUTE(SUBSTITUTE(IFERROR(AO25&amp;" "&amp;+_xlfn.XLOOKUP(((SUM(LEN(AN25))-SUM(LEN(SUBSTITUTE(AN25,",",""))))/LEN(",")+1)&amp;H25,AV:AV&amp;AW:AW,AY:AY)&amp;CHAR(34)&amp;B25&amp;CHAR(34)&amp;"!"&amp;_xlfn.XLOOKUP(H25,text_list[Genre],text_list[Type based on genre]&amp;text_list[Label]),""),"Second",AP25),"Third",AQ25),"Forth",AR25),"Fifth",AS25&amp;" "))</f>
        <v/>
      </c>
      <c r="AH25">
        <f>IF(N30="Remix","Remix",IF(N30="Cover","Cover",IF(N30="Radio","Single",IF(N30="Radio/Extended","Original",""))))</f>
        <v/>
      </c>
      <c r="AI25">
        <f t="array" ref="AI25">IF(SUM(COUNTIF(H25,{"*Deep*";"*Bass*";"*Slap*"})),"**Tiësto**Imanbek**",IF(SUM(COUNTIF(H25,{"*Lo-Fi*"})),"**L.Dre**Yasumu**",IF(SUM(COUNTIF(H25,{"*Tech*"})),"**Mau P**Gorgon City**",IF(SUM(COUNTIF(H25,{"*Indie/Chill Dance*"})),"**Felix Jaehn**Lost Frequencies**",IF(SUM(COUNTIF(H25,{"*Piano*"})),"**Avicii**Eric Prydz**",IF(SUM(COUNTIF(H25,{"*EDM*"})),"**David Guetta**Swedish House Mafia**",IF(H25="","","")))))))</f>
        <v/>
      </c>
      <c r="AN25" s="20">
        <f>TRIM(SUBSTITUTE(SUBSTITUTE(SUBSTITUTE(A30,"&amp;",","),"feat",","),".",""))</f>
        <v/>
      </c>
      <c r="AO25" s="20">
        <f>IFERROR(_xlfn.TEXTBEFORE(AN25,","),AN25)</f>
        <v/>
      </c>
      <c r="AP25" s="20">
        <f>IFERROR(TRIM(SUBSTITUTE(SUBSTITUTE(SUBSTITUTE(SUBSTITUTE(_xlfn.TEXTAFTER(AN25,",",1),AQ25,""),AR25,""),AS25,""),",","")),"")</f>
        <v/>
      </c>
      <c r="AQ25" s="20">
        <f>IFERROR(SUBSTITUTE(SUBSTITUTE(SUBSTITUTE(_xlfn.TEXTAFTER(AN25,",",2),AR25,""),",",""),AS25,""),"")</f>
        <v/>
      </c>
      <c r="AR25" s="20">
        <f>IFERROR(SUBSTITUTE(SUBSTITUTE(_xlfn.TEXTAFTER(AN25,",",3),AS25,""),",",""),"")</f>
        <v/>
      </c>
      <c r="AS25" s="20">
        <f>IFERROR(_xlfn.TEXTAFTER(AN25,",",4),"")</f>
        <v/>
      </c>
      <c r="AV25" s="11" t="n">
        <v>4</v>
      </c>
      <c r="AW25" s="10" t="inlineStr">
        <is>
          <t>Lo-Fi</t>
        </is>
      </c>
      <c r="AX25" s="12" t="inlineStr">
        <is>
          <t>teamed up with Second, Third and Forth to deliver this Lo-Fi tune called ''''! Song would perfectly fit in any Lo-Fi mood playlist! Label will invest up to 5000 EUR advertising on facebook and instagram ads aswell as promoting it over label and label partners playlists, radio stations and press.</t>
        </is>
      </c>
      <c r="AY25">
        <f>+_xlfn.TEXTBEFORE(text_list[[#This Row],[Text]],"''''!",,0)</f>
        <v/>
      </c>
      <c r="AZ25">
        <f>+_xlfn.TEXTBEFORE(_xlfn.TEXTAFTER(text_list[[#This Row],[Text]],"'''!"),"Label")</f>
        <v/>
      </c>
      <c r="BA25">
        <f>+_xlfn.TEXTAFTER(text_list[[#This Row],[Text]],text_list[[#This Row],[Type based on genre]])</f>
        <v/>
      </c>
      <c r="BB25" t="inlineStr">
        <is>
          <t xml:space="preserve"> </t>
        </is>
      </c>
      <c r="BE25" t="inlineStr">
        <is>
          <t>**Mexico**</t>
        </is>
      </c>
      <c r="BF25" t="inlineStr">
        <is>
          <t>Deep House</t>
        </is>
      </c>
      <c r="BG25">
        <f>+RAND()</f>
        <v/>
      </c>
      <c r="BJ25" t="inlineStr">
        <is>
          <t>**Mexico**</t>
        </is>
      </c>
      <c r="BK25" t="inlineStr">
        <is>
          <t>Tech House</t>
        </is>
      </c>
      <c r="BL25">
        <f>+RAND()</f>
        <v/>
      </c>
      <c r="BN25" t="inlineStr">
        <is>
          <t>**Mexico**</t>
        </is>
      </c>
      <c r="BO25" t="inlineStr">
        <is>
          <t>Piano House</t>
        </is>
      </c>
      <c r="BP25">
        <f>+RAND()</f>
        <v/>
      </c>
      <c r="BR25" t="inlineStr">
        <is>
          <t>**Mexico**</t>
        </is>
      </c>
      <c r="BS25" t="inlineStr">
        <is>
          <t>Indie/Chill Dance</t>
        </is>
      </c>
      <c r="BT25">
        <f>+RAND()</f>
        <v/>
      </c>
      <c r="BV25" t="inlineStr">
        <is>
          <t>**Mexico**</t>
        </is>
      </c>
      <c r="BW25" t="inlineStr">
        <is>
          <t>EDM</t>
        </is>
      </c>
      <c r="BX25">
        <f>+RAND()</f>
        <v/>
      </c>
    </row>
    <row r="26">
      <c r="A26" t="inlineStr">
        <is>
          <t>Brandon Study, flywtwo</t>
        </is>
      </c>
      <c r="B26" t="inlineStr">
        <is>
          <t>White Shadows</t>
        </is>
      </c>
      <c r="C26" t="inlineStr">
        <is>
          <t>Latvia</t>
        </is>
      </c>
      <c r="D26" t="inlineStr">
        <is>
          <t>February 10th, 2023</t>
        </is>
      </c>
      <c r="E26" t="inlineStr">
        <is>
          <t>10.02.2023</t>
        </is>
      </c>
      <c r="F26" s="3" t="n">
        <v>5063248034799</v>
      </c>
      <c r="G26" t="inlineStr">
        <is>
          <t>GX89G2347015</t>
        </is>
      </c>
      <c r="H26" t="inlineStr">
        <is>
          <t>Lo-Fi</t>
        </is>
      </c>
      <c r="I26" t="inlineStr">
        <is>
          <t>2</t>
        </is>
      </c>
      <c r="J26" t="inlineStr">
        <is>
          <t>26</t>
        </is>
      </c>
      <c r="K26" t="inlineStr">
        <is>
          <t>https://soundcloud.com/floatingbluerecords/brandon-study-flywtwo-white-shadows/s-6Tw8OaX2imv?si=9e010c7aa5ea421abc3a316204139d1b&amp;utm_source=clipboard&amp;utm_medium=text&amp;utm_campaign=social_sharing</t>
        </is>
      </c>
      <c r="L26" t="inlineStr">
        <is>
          <t>Floating Blue Records</t>
        </is>
      </c>
      <c r="M26" t="n">
        <v>2</v>
      </c>
      <c r="N26" t="inlineStr">
        <is>
          <t>Radio</t>
        </is>
      </c>
      <c r="O26">
        <f>IF(N26="Remix","Citas:Remix",IF(N26="Cover","Citas:Cover",IF(N26="Radio","Single",IF(N26="Radio/Extended","Single",""))))</f>
        <v/>
      </c>
      <c r="P26">
        <f>IF(M26=1,"High_Priority",IF(M26=2,"Priority",IF(M26=3,"General_Release",IF(M26=4,"General_Release",IF(M26="","")))))</f>
        <v/>
      </c>
      <c r="Q26">
        <f>IF(N26="Remix","Citas:Remix",IF(N26="Cover","Citas:Cover",IF(N26="Radio","Single",IF(N26="Radio/Extended","Single",""))))</f>
        <v/>
      </c>
      <c r="R26">
        <f t="array" ref="R26">IF(SUM(COUNTIF(H26,{"*Deep*";"*Bass*";"*Slap*"})),"Citas:Deep House",IF(SUM(COUNTIF(H26,{"*Lo-Fi*"})),"Citas:Lo-Fi",IF(SUM(COUNTIF(H26,{"*Tech*"})),"Citas:Tech House",IF(SUM(COUNTIF(H26,{"*Indie/Chill Dance*"})),"Citas:Indie/Chill Dance",IF(SUM(COUNTIF(H26,{"*Piano*"})),"Citas:Piano House",IF(SUM(COUNTIF(H26,{"*EDM*"})),"edm dance",IF(H26="","","")))))))</f>
        <v/>
      </c>
      <c r="S26">
        <f t="array" ref="S26">IF(SUM(COUNTIF(H26,{"*Deep*";"*Bass*";"*Slap*"})),"energetic",IF(SUM(COUNTIF(H26,{"*Lo-Fi*"})),"calm",IF(SUM(COUNTIF(H26,{"*Tech*"})),"energetic",IF(SUM(COUNTIF(H26,{"*Indie/Chill Dance*"})),"chillout",IF(SUM(COUNTIF(H26,{"*Piano*"})),"energetic",IF(SUM(COUNTIF(H26,{"*EDM*"})),"energetic",IF(H26="","","")))))))</f>
        <v/>
      </c>
      <c r="T26">
        <f t="array" ref="T26">IF(SUM(COUNTIF(H26,{"*Tech*";"*EDM*";"*Indie*";"*Deep*";"*Piano*";"*Slap*";"*Brazilian Bass*"})),"Song would perfectly fit in any dance mood playlist! Label will invest up to 5000 EUR advertising on facebook and instagram ads aswell as promoting it over label and label partners playlists, radio stations and press.",IF(SUM(COUNTIF(H26,{"*Lo-Fi*"})),"Song would perfectly fit in any Lo-Fi mood playlist! Label will invest up to 5000 EUR advertising on facebook and instagram ads aswell as promoting it over label and label partners playlists, radio stations and press.",IF(H26="","","")))</f>
        <v/>
      </c>
      <c r="U26">
        <f>IF(N26="Cover","SGL",IF(N26="Radio","SGL",IF(N26="Remix","RMX",IF(N26="","","SGL"))))</f>
        <v/>
      </c>
      <c r="V26">
        <f>IF(L26="Floating Blue Records","Instrumental only",IF(L26="Day Dose Of House","Electronic, Dance, Deep House",""))</f>
        <v/>
      </c>
      <c r="X26">
        <f t="array" aca="1" ref="X26" ca="1">+IF(H26="LO-FI","",IFERROR(INDEX(INDIRECT((_xlfn.XLOOKUP(H26,map_location[Genre],map_location[location]))),RANK(INDIRECT((_xlfn.XLOOKUP(H26,map_location[Genre],map_location[min])),FALSE),INDIRECT((_xlfn.XLOOKUP(H26,map_location[Genre],map_location[rand]))),1)),""))</f>
        <v/>
      </c>
      <c r="Y26">
        <f t="array" ref="Y26">IF(SUM(COUNTIF(H26,{"*Deep*";"*Bass*";"*Slap*"})),"**Deep House**House**Dance**",IF(SUM(COUNTIF(H26,{"*Lo-Fi*"})),"**Lo-Fi Pop**Lo-Fi Beats**Lo-Fi**",IF(SUM(COUNTIF(H26,{"*Tech*"})),"**Deep House**Tech House**Dance**",IF(SUM(COUNTIF(H26,{"*Indie/Chill Dance*"})),"**Indie Dance**Indie Electronic**Dance Pop**",IF(SUM(COUNTIF(H26,{"*Piano*"})),"**House**Electro house**Melodic House**",IF(SUM(COUNTIF(H26,{"*EDM*"})),"**EDM**Electro house**Dance Pop**",IF(H26="","","")))))))</f>
        <v/>
      </c>
      <c r="Z26">
        <f t="array" ref="Z26">IF(SUM(COUNTIF(H26,{"*Deep*";"*Bass*";"*Slap*"})),"Energetic,Happy",IF(SUM(COUNTIF(H26,{"*Lo-Fi*"})),"Romantic,Chill",IF(SUM(COUNTIF(H26,{"*Tech*"})),"Energetic,Happy",IF(SUM(COUNTIF(H26,{"*Indie/Chill Dance*"})),"Energetic,Chill",IF(SUM(COUNTIF(H26,{"*Piano*"})),"Energetic,Happy",IF(SUM(COUNTIF(H26,{"*EDM*"})),"Energetic,Happy",IF(H26="","","")))))))</f>
        <v/>
      </c>
      <c r="AA26">
        <f t="array" ref="AA26">IF(SUM(COUNTIF(H26,{"*Deep*";"*Bass*";"*Slap*"})),"None of these",IF(SUM(COUNTIF(H26,{"*Lo-Fi*"})),"Holiday,Beats",IF(SUM(COUNTIF(H26,{"*Tech*"})),"None of these",IF(SUM(COUNTIF(H26,{"*Indie/Chill Dance*"})),"None of these",IF(SUM(COUNTIF(H26,{"*Piano*"})),"None of these",IF(SUM(COUNTIF(H26,{"*EDM*"})),"None of these",IF(H26="","","")))))))</f>
        <v/>
      </c>
      <c r="AB26">
        <f t="array" ref="AB26">IF(SUM(COUNTIF(H26,{"*Deep*";"*Bass*";"*Slap*"})),"Samples,Synthesizer,Bass Guitar,Piano,Drum Kit,Electric Guitar",IF(SUM(COUNTIF(H26,{"*Lo-Fi*"})),"Samples,Synthesizer,Bass Guitar,Piano,Drum Kit,Electric Guitar",IF(SUM(COUNTIF(H26,{"*Tech*"})),"Samples,Synthesizer,Bass Guitar,Piano,Drum Kit,Electric Guitar",IF(SUM(COUNTIF(H26,{"*Indie/Chill Dance*"})),"Samples,Synthesizer,Bass Guitar,Piano,Drum Kit,Electric Guitar",IF(SUM(COUNTIF(H26,{"*Piano*"})),"Samples,Synthesizer,Bass Guitar,Piano,Drum Kit,Electric Guitar",IF(SUM(COUNTIF(H26,{"*EDM*"})),"Samples,Synthesizer,Bass Guitar,Piano,Drum Kit,Electric Guitar",IF(H26="","","")))))))</f>
        <v/>
      </c>
      <c r="AD26">
        <f t="array" ref="AD26">IF(N26="Remix","Yes",IF(SUM(COUNTIF(N26,{"*Radio/Extended*";"*Radio*";"*Cover*"})),"No",""))</f>
        <v/>
      </c>
      <c r="AE26">
        <f>IF(ISTEXT(A26),"**English**","")</f>
        <v/>
      </c>
      <c r="AF26">
        <f t="array" aca="1" ref="AF26" ca="1">+TRIM(SUBSTITUTE(SUBSTITUTE(SUBSTITUTE(SUBSTITUTE(IFERROR(AO26&amp;" "&amp;+_xlfn.XLOOKUP(((SUM(LEN(AN26))-SUM(LEN(SUBSTITUTE(AN26,",",""))))/LEN(",")+1)&amp;H26,AV:AV&amp;AW:AW,AY:AY)&amp;CHAR(34)&amp;B26&amp;CHAR(34)&amp;"!"&amp;_xlfn.XLOOKUP(H26,text_list[Genre],text_list[Type based on genre]&amp;text_list[Label]),""),"Second",AP26),"Third",AQ26),"Forth",AR26),"Fifth",AS26&amp;" "))</f>
        <v/>
      </c>
      <c r="AH26">
        <f>IF(N31="Remix","Remix",IF(N31="Cover","Cover",IF(N31="Radio","Single",IF(N31="Radio/Extended","Original",""))))</f>
        <v/>
      </c>
      <c r="AI26">
        <f t="array" ref="AI26">IF(SUM(COUNTIF(H26,{"*Deep*";"*Bass*";"*Slap*"})),"**Tiësto**Imanbek**",IF(SUM(COUNTIF(H26,{"*Lo-Fi*"})),"**L.Dre**Yasumu**",IF(SUM(COUNTIF(H26,{"*Tech*"})),"**Mau P**Gorgon City**",IF(SUM(COUNTIF(H26,{"*Indie/Chill Dance*"})),"**Felix Jaehn**Lost Frequencies**",IF(SUM(COUNTIF(H26,{"*Piano*"})),"**Avicii**Eric Prydz**",IF(SUM(COUNTIF(H26,{"*EDM*"})),"**David Guetta**Swedish House Mafia**",IF(H26="","","")))))))</f>
        <v/>
      </c>
      <c r="AN26" s="20">
        <f>TRIM(SUBSTITUTE(SUBSTITUTE(SUBSTITUTE(A31,"&amp;",","),"feat",","),".",""))</f>
        <v/>
      </c>
      <c r="AO26" s="20">
        <f>IFERROR(_xlfn.TEXTBEFORE(AN26,","),AN26)</f>
        <v/>
      </c>
      <c r="AP26" s="20">
        <f>IFERROR(TRIM(SUBSTITUTE(SUBSTITUTE(SUBSTITUTE(SUBSTITUTE(_xlfn.TEXTAFTER(AN26,",",1),AQ26,""),AR26,""),AS26,""),",","")),"")</f>
        <v/>
      </c>
      <c r="AQ26" s="20">
        <f>IFERROR(SUBSTITUTE(SUBSTITUTE(SUBSTITUTE(_xlfn.TEXTAFTER(AN26,",",2),AR26,""),",",""),AS26,""),"")</f>
        <v/>
      </c>
      <c r="AR26" s="20">
        <f>IFERROR(SUBSTITUTE(SUBSTITUTE(_xlfn.TEXTAFTER(AN26,",",3),AS26,""),",",""),"")</f>
        <v/>
      </c>
      <c r="AS26" s="20">
        <f>IFERROR(_xlfn.TEXTAFTER(AN26,",",4),"")</f>
        <v/>
      </c>
      <c r="AV26" s="11" t="n">
        <v>5</v>
      </c>
      <c r="AW26" s="10" t="inlineStr">
        <is>
          <t>Lo-Fi</t>
        </is>
      </c>
      <c r="AX26" s="12" t="inlineStr">
        <is>
          <t>teamed up with Second, Third, Forth, and Fifth to deliver this Lo-Fi tune called ''''! Song would perfectly fit in any Lo-Fi mood playlist! Label will invest up to 5000 EUR advertising on facebook and instagram ads aswell as promoting it over label and label partners playlists, radio stations and press.</t>
        </is>
      </c>
      <c r="AY26">
        <f>+_xlfn.TEXTBEFORE(text_list[[#This Row],[Text]],"''''!",,0)</f>
        <v/>
      </c>
      <c r="AZ26">
        <f>+_xlfn.TEXTBEFORE(_xlfn.TEXTAFTER(text_list[[#This Row],[Text]],"'''!"),"Label")</f>
        <v/>
      </c>
      <c r="BA26">
        <f>+_xlfn.TEXTAFTER(text_list[[#This Row],[Text]],text_list[[#This Row],[Type based on genre]])</f>
        <v/>
      </c>
      <c r="BB26" t="inlineStr">
        <is>
          <t xml:space="preserve"> </t>
        </is>
      </c>
      <c r="BE26" t="inlineStr">
        <is>
          <t>**Italy**</t>
        </is>
      </c>
      <c r="BF26" t="inlineStr">
        <is>
          <t>Deep House</t>
        </is>
      </c>
      <c r="BG26">
        <f>+RAND()</f>
        <v/>
      </c>
      <c r="BJ26" t="inlineStr">
        <is>
          <t>**Italy**</t>
        </is>
      </c>
      <c r="BK26" t="inlineStr">
        <is>
          <t>Tech House</t>
        </is>
      </c>
      <c r="BL26">
        <f>+RAND()</f>
        <v/>
      </c>
      <c r="BN26" t="inlineStr">
        <is>
          <t>**Italy**</t>
        </is>
      </c>
      <c r="BO26" t="inlineStr">
        <is>
          <t>Piano House</t>
        </is>
      </c>
      <c r="BP26">
        <f>+RAND()</f>
        <v/>
      </c>
      <c r="BR26" t="inlineStr">
        <is>
          <t>**Italy**</t>
        </is>
      </c>
      <c r="BS26" t="inlineStr">
        <is>
          <t>Indie/Chill Dance</t>
        </is>
      </c>
      <c r="BT26">
        <f>+RAND()</f>
        <v/>
      </c>
      <c r="BV26" t="inlineStr">
        <is>
          <t>**Italy**</t>
        </is>
      </c>
      <c r="BW26" t="inlineStr">
        <is>
          <t>EDM</t>
        </is>
      </c>
      <c r="BX26">
        <f>+RAND()</f>
        <v/>
      </c>
    </row>
    <row r="27">
      <c r="A27" t="inlineStr">
        <is>
          <t>Brandon Study, flywtwo</t>
        </is>
      </c>
      <c r="B27" t="inlineStr">
        <is>
          <t>White Shadows</t>
        </is>
      </c>
      <c r="C27" t="inlineStr">
        <is>
          <t>Latvia</t>
        </is>
      </c>
      <c r="D27" t="inlineStr">
        <is>
          <t>February 10th, 2023</t>
        </is>
      </c>
      <c r="E27" t="inlineStr">
        <is>
          <t>10.02.2023</t>
        </is>
      </c>
      <c r="F27" s="3" t="n">
        <v>5063248034799</v>
      </c>
      <c r="G27" t="inlineStr">
        <is>
          <t>GX89G2347015</t>
        </is>
      </c>
      <c r="H27" t="inlineStr">
        <is>
          <t>Lo-Fi</t>
        </is>
      </c>
      <c r="I27" t="inlineStr">
        <is>
          <t>2</t>
        </is>
      </c>
      <c r="J27" t="inlineStr">
        <is>
          <t>26</t>
        </is>
      </c>
      <c r="K27" t="inlineStr">
        <is>
          <t>https://soundcloud.com/floatingbluerecords/brandon-study-flywtwo-white-shadows/s-6Tw8OaX2imv?si=9e010c7aa5ea421abc3a316204139d1b&amp;utm_source=clipboard&amp;utm_medium=text&amp;utm_campaign=social_sharing</t>
        </is>
      </c>
      <c r="L27" t="inlineStr">
        <is>
          <t>Floating Blue Records</t>
        </is>
      </c>
      <c r="M27" t="n">
        <v>2</v>
      </c>
      <c r="N27" t="inlineStr">
        <is>
          <t>Radio</t>
        </is>
      </c>
      <c r="O27">
        <f>IF(N27="Remix","Citas:Remix",IF(N27="Cover","Citas:Cover",IF(N27="Radio","Single",IF(N27="Radio/Extended","Single",""))))</f>
        <v/>
      </c>
      <c r="P27">
        <f>IF(M27=1,"High_Priority",IF(M27=2,"Priority",IF(M27=3,"General_Release",IF(M27=4,"General_Release",IF(M27="","")))))</f>
        <v/>
      </c>
      <c r="Q27">
        <f>IF(N27="Remix","Citas:Remix",IF(N27="Cover","Citas:Cover",IF(N27="Radio","Single",IF(N27="Radio/Extended","Single",""))))</f>
        <v/>
      </c>
      <c r="R27">
        <f t="array" ref="R27">IF(SUM(COUNTIF(H27,{"*Deep*";"*Bass*";"*Slap*"})),"Citas:Deep House",IF(SUM(COUNTIF(H27,{"*Lo-Fi*"})),"Citas:Lo-Fi",IF(SUM(COUNTIF(H27,{"*Tech*"})),"Citas:Tech House",IF(SUM(COUNTIF(H27,{"*Indie/Chill Dance*"})),"Citas:Indie/Chill Dance",IF(SUM(COUNTIF(H27,{"*Piano*"})),"Citas:Piano House",IF(SUM(COUNTIF(H27,{"*EDM*"})),"edm dance",IF(H27="","","")))))))</f>
        <v/>
      </c>
      <c r="S27">
        <f t="array" ref="S27">IF(SUM(COUNTIF(H27,{"*Deep*";"*Bass*";"*Slap*"})),"energetic",IF(SUM(COUNTIF(H27,{"*Lo-Fi*"})),"calm",IF(SUM(COUNTIF(H27,{"*Tech*"})),"energetic",IF(SUM(COUNTIF(H27,{"*Indie/Chill Dance*"})),"chillout",IF(SUM(COUNTIF(H27,{"*Piano*"})),"energetic",IF(SUM(COUNTIF(H27,{"*EDM*"})),"energetic",IF(H27="","","")))))))</f>
        <v/>
      </c>
      <c r="T27">
        <f t="array" ref="T27">IF(SUM(COUNTIF(H27,{"*Tech*";"*EDM*";"*Indie*";"*Deep*";"*Piano*";"*Slap*";"*Brazilian Bass*"})),"Song would perfectly fit in any dance mood playlist! Label will invest up to 5000 EUR advertising on facebook and instagram ads aswell as promoting it over label and label partners playlists, radio stations and press.",IF(SUM(COUNTIF(H27,{"*Lo-Fi*"})),"Song would perfectly fit in any Lo-Fi mood playlist! Label will invest up to 5000 EUR advertising on facebook and instagram ads aswell as promoting it over label and label partners playlists, radio stations and press.",IF(H27="","","")))</f>
        <v/>
      </c>
      <c r="U27">
        <f>IF(N27="Cover","SGL",IF(N27="Radio","SGL",IF(N27="Remix","RMX",IF(N27="","","SGL"))))</f>
        <v/>
      </c>
      <c r="V27">
        <f>IF(L27="Floating Blue Records","Instrumental only",IF(L27="Day Dose Of House","Electronic, Dance, Deep House",""))</f>
        <v/>
      </c>
      <c r="X27">
        <f t="array" aca="1" ref="X27" ca="1">+IF(H27="LO-FI","",IFERROR(INDEX(INDIRECT((_xlfn.XLOOKUP(H27,map_location[Genre],map_location[location]))),RANK(INDIRECT((_xlfn.XLOOKUP(H27,map_location[Genre],map_location[min])),FALSE),INDIRECT((_xlfn.XLOOKUP(H27,map_location[Genre],map_location[rand]))),1)),""))</f>
        <v/>
      </c>
      <c r="Y27">
        <f t="array" ref="Y27">IF(SUM(COUNTIF(H27,{"*Deep*";"*Bass*";"*Slap*"})),"**Deep House**House**Dance**",IF(SUM(COUNTIF(H27,{"*Lo-Fi*"})),"**Lo-Fi Pop**Lo-Fi Beats**Lo-Fi**",IF(SUM(COUNTIF(H27,{"*Tech*"})),"**Deep House**Tech House**Dance**",IF(SUM(COUNTIF(H27,{"*Indie/Chill Dance*"})),"**Indie Dance**Indie Electronic**Dance Pop**",IF(SUM(COUNTIF(H27,{"*Piano*"})),"**House**Electro house**Melodic House**",IF(SUM(COUNTIF(H27,{"*EDM*"})),"**EDM**Electro house**Dance Pop**",IF(H27="","","")))))))</f>
        <v/>
      </c>
      <c r="Z27">
        <f t="array" ref="Z27">IF(SUM(COUNTIF(H27,{"*Deep*";"*Bass*";"*Slap*"})),"Energetic,Happy",IF(SUM(COUNTIF(H27,{"*Lo-Fi*"})),"Romantic,Chill",IF(SUM(COUNTIF(H27,{"*Tech*"})),"Energetic,Happy",IF(SUM(COUNTIF(H27,{"*Indie/Chill Dance*"})),"Energetic,Chill",IF(SUM(COUNTIF(H27,{"*Piano*"})),"Energetic,Happy",IF(SUM(COUNTIF(H27,{"*EDM*"})),"Energetic,Happy",IF(H27="","","")))))))</f>
        <v/>
      </c>
      <c r="AA27">
        <f t="array" ref="AA27">IF(SUM(COUNTIF(H27,{"*Deep*";"*Bass*";"*Slap*"})),"None of these",IF(SUM(COUNTIF(H27,{"*Lo-Fi*"})),"Holiday,Beats",IF(SUM(COUNTIF(H27,{"*Tech*"})),"None of these",IF(SUM(COUNTIF(H27,{"*Indie/Chill Dance*"})),"None of these",IF(SUM(COUNTIF(H27,{"*Piano*"})),"None of these",IF(SUM(COUNTIF(H27,{"*EDM*"})),"None of these",IF(H27="","","")))))))</f>
        <v/>
      </c>
      <c r="AB27">
        <f t="array" ref="AB27">IF(SUM(COUNTIF(H27,{"*Deep*";"*Bass*";"*Slap*"})),"Samples,Synthesizer,Bass Guitar,Piano,Drum Kit,Electric Guitar",IF(SUM(COUNTIF(H27,{"*Lo-Fi*"})),"Samples,Synthesizer,Bass Guitar,Piano,Drum Kit,Electric Guitar",IF(SUM(COUNTIF(H27,{"*Tech*"})),"Samples,Synthesizer,Bass Guitar,Piano,Drum Kit,Electric Guitar",IF(SUM(COUNTIF(H27,{"*Indie/Chill Dance*"})),"Samples,Synthesizer,Bass Guitar,Piano,Drum Kit,Electric Guitar",IF(SUM(COUNTIF(H27,{"*Piano*"})),"Samples,Synthesizer,Bass Guitar,Piano,Drum Kit,Electric Guitar",IF(SUM(COUNTIF(H27,{"*EDM*"})),"Samples,Synthesizer,Bass Guitar,Piano,Drum Kit,Electric Guitar",IF(H27="","","")))))))</f>
        <v/>
      </c>
      <c r="AD27">
        <f t="array" ref="AD27">IF(N27="Remix","Yes",IF(SUM(COUNTIF(N27,{"*Radio/Extended*";"*Radio*";"*Cover*"})),"No",""))</f>
        <v/>
      </c>
      <c r="AE27">
        <f>IF(ISTEXT(A27),"**English**","")</f>
        <v/>
      </c>
      <c r="AF27">
        <f t="array" aca="1" ref="AF27" ca="1">+TRIM(SUBSTITUTE(SUBSTITUTE(SUBSTITUTE(SUBSTITUTE(IFERROR(AO27&amp;" "&amp;+_xlfn.XLOOKUP(((SUM(LEN(AN27))-SUM(LEN(SUBSTITUTE(AN27,",",""))))/LEN(",")+1)&amp;H27,AV:AV&amp;AW:AW,AY:AY)&amp;CHAR(34)&amp;B27&amp;CHAR(34)&amp;"!"&amp;_xlfn.XLOOKUP(H27,text_list[Genre],text_list[Type based on genre]&amp;text_list[Label]),""),"Second",AP27),"Third",AQ27),"Forth",AR27),"Fifth",AS27&amp;" "))</f>
        <v/>
      </c>
      <c r="AH27">
        <f>IF(N32="Remix","Remix",IF(N32="Cover","Cover",IF(N32="Radio","Single",IF(N32="Radio/Extended","Original",""))))</f>
        <v/>
      </c>
      <c r="AI27">
        <f t="array" ref="AI27">IF(SUM(COUNTIF(H27,{"*Deep*";"*Bass*";"*Slap*"})),"**Tiësto**Imanbek**",IF(SUM(COUNTIF(H27,{"*Lo-Fi*"})),"**L.Dre**Yasumu**",IF(SUM(COUNTIF(H27,{"*Tech*"})),"**Mau P**Gorgon City**",IF(SUM(COUNTIF(H27,{"*Indie/Chill Dance*"})),"**Felix Jaehn**Lost Frequencies**",IF(SUM(COUNTIF(H27,{"*Piano*"})),"**Avicii**Eric Prydz**",IF(SUM(COUNTIF(H27,{"*EDM*"})),"**David Guetta**Swedish House Mafia**",IF(H27="","","")))))))</f>
        <v/>
      </c>
      <c r="AN27" s="20">
        <f>TRIM(SUBSTITUTE(SUBSTITUTE(SUBSTITUTE(A32,"&amp;",","),"feat",","),".",""))</f>
        <v/>
      </c>
      <c r="AO27" s="20">
        <f>IFERROR(_xlfn.TEXTBEFORE(AN27,","),AN27)</f>
        <v/>
      </c>
      <c r="AP27" s="20">
        <f>IFERROR(TRIM(SUBSTITUTE(SUBSTITUTE(SUBSTITUTE(SUBSTITUTE(_xlfn.TEXTAFTER(AN27,",",1),AQ27,""),AR27,""),AS27,""),",","")),"")</f>
        <v/>
      </c>
      <c r="AQ27" s="20">
        <f>IFERROR(SUBSTITUTE(SUBSTITUTE(SUBSTITUTE(_xlfn.TEXTAFTER(AN27,",",2),AR27,""),",",""),AS27,""),"")</f>
        <v/>
      </c>
      <c r="AR27" s="20">
        <f>IFERROR(SUBSTITUTE(SUBSTITUTE(_xlfn.TEXTAFTER(AN27,",",3),AS27,""),",",""),"")</f>
        <v/>
      </c>
      <c r="AS27" s="20">
        <f>IFERROR(_xlfn.TEXTAFTER(AN27,",",4),"")</f>
        <v/>
      </c>
      <c r="AV27" s="11" t="n">
        <v>1</v>
      </c>
      <c r="AW27" s="9" t="inlineStr">
        <is>
          <t>Slap House</t>
        </is>
      </c>
      <c r="AX27"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27">
        <f>+_xlfn.TEXTBEFORE(text_list[[#This Row],[Text]],"''''!",,0)</f>
        <v/>
      </c>
      <c r="AZ27">
        <f>+_xlfn.TEXTBEFORE(_xlfn.TEXTAFTER(text_list[[#This Row],[Text]],"'''!"),"Label")</f>
        <v/>
      </c>
      <c r="BA27">
        <f>+_xlfn.TEXTAFTER(text_list[[#This Row],[Text]],text_list[[#This Row],[Type based on genre]])</f>
        <v/>
      </c>
      <c r="BB27" t="inlineStr">
        <is>
          <t xml:space="preserve"> </t>
        </is>
      </c>
      <c r="BE27" t="inlineStr">
        <is>
          <t>**Spain**</t>
        </is>
      </c>
      <c r="BF27" t="inlineStr">
        <is>
          <t>Deep House</t>
        </is>
      </c>
      <c r="BG27">
        <f>+RAND()</f>
        <v/>
      </c>
      <c r="BJ27" t="inlineStr">
        <is>
          <t>**Spain**</t>
        </is>
      </c>
      <c r="BK27" t="inlineStr">
        <is>
          <t>Tech House</t>
        </is>
      </c>
      <c r="BL27">
        <f>+RAND()</f>
        <v/>
      </c>
      <c r="BN27" t="inlineStr">
        <is>
          <t>**Spain**</t>
        </is>
      </c>
      <c r="BO27" t="inlineStr">
        <is>
          <t>Piano House</t>
        </is>
      </c>
      <c r="BP27">
        <f>+RAND()</f>
        <v/>
      </c>
      <c r="BR27" t="inlineStr">
        <is>
          <t>**Spain**</t>
        </is>
      </c>
      <c r="BS27" t="inlineStr">
        <is>
          <t>Indie/Chill Dance</t>
        </is>
      </c>
      <c r="BT27">
        <f>+RAND()</f>
        <v/>
      </c>
      <c r="BV27" t="inlineStr">
        <is>
          <t>**Spain**</t>
        </is>
      </c>
      <c r="BW27" t="inlineStr">
        <is>
          <t>EDM</t>
        </is>
      </c>
      <c r="BX27">
        <f>+RAND()</f>
        <v/>
      </c>
    </row>
    <row r="28">
      <c r="A28" t="inlineStr">
        <is>
          <t>Brandon Study, flywtwo</t>
        </is>
      </c>
      <c r="B28" t="inlineStr">
        <is>
          <t>White Shadows</t>
        </is>
      </c>
      <c r="C28" t="inlineStr">
        <is>
          <t>Latvia</t>
        </is>
      </c>
      <c r="D28" t="inlineStr">
        <is>
          <t>February 10th, 2023</t>
        </is>
      </c>
      <c r="E28" t="inlineStr">
        <is>
          <t>10.02.2023</t>
        </is>
      </c>
      <c r="F28" s="3" t="n">
        <v>5063248034799</v>
      </c>
      <c r="G28" t="inlineStr">
        <is>
          <t>GX89G2347015</t>
        </is>
      </c>
      <c r="H28" t="inlineStr">
        <is>
          <t>Lo-Fi</t>
        </is>
      </c>
      <c r="I28" t="inlineStr">
        <is>
          <t>2</t>
        </is>
      </c>
      <c r="J28" t="inlineStr">
        <is>
          <t>26</t>
        </is>
      </c>
      <c r="K28" t="inlineStr">
        <is>
          <t>https://soundcloud.com/floatingbluerecords/brandon-study-flywtwo-white-shadows/s-6Tw8OaX2imv?si=9e010c7aa5ea421abc3a316204139d1b&amp;utm_source=clipboard&amp;utm_medium=text&amp;utm_campaign=social_sharing</t>
        </is>
      </c>
      <c r="L28" t="inlineStr">
        <is>
          <t>Floating Blue Records</t>
        </is>
      </c>
      <c r="M28" t="n">
        <v>2</v>
      </c>
      <c r="N28" t="inlineStr">
        <is>
          <t>Radio</t>
        </is>
      </c>
      <c r="O28">
        <f>IF(N28="Remix","Citas:Remix",IF(N28="Cover","Citas:Cover",IF(N28="Radio","Single",IF(N28="Radio/Extended","Single",""))))</f>
        <v/>
      </c>
      <c r="P28">
        <f>IF(M28=1,"High_Priority",IF(M28=2,"Priority",IF(M28=3,"General_Release",IF(M28=4,"General_Release",IF(M28="","")))))</f>
        <v/>
      </c>
      <c r="Q28">
        <f>IF(N28="Remix","Citas:Remix",IF(N28="Cover","Citas:Cover",IF(N28="Radio","Single",IF(N28="Radio/Extended","Single",""))))</f>
        <v/>
      </c>
      <c r="R28">
        <f t="array" ref="R28">IF(SUM(COUNTIF(H28,{"*Deep*";"*Bass*";"*Slap*"})),"Citas:Deep House",IF(SUM(COUNTIF(H28,{"*Lo-Fi*"})),"Citas:Lo-Fi",IF(SUM(COUNTIF(H28,{"*Tech*"})),"Citas:Tech House",IF(SUM(COUNTIF(H28,{"*Indie/Chill Dance*"})),"Citas:Indie/Chill Dance",IF(SUM(COUNTIF(H28,{"*Piano*"})),"Citas:Piano House",IF(SUM(COUNTIF(H28,{"*EDM*"})),"edm dance",IF(H28="","","")))))))</f>
        <v/>
      </c>
      <c r="S28">
        <f t="array" ref="S28">IF(SUM(COUNTIF(H28,{"*Deep*";"*Bass*";"*Slap*"})),"energetic",IF(SUM(COUNTIF(H28,{"*Lo-Fi*"})),"calm",IF(SUM(COUNTIF(H28,{"*Tech*"})),"energetic",IF(SUM(COUNTIF(H28,{"*Indie/Chill Dance*"})),"chillout",IF(SUM(COUNTIF(H28,{"*Piano*"})),"energetic",IF(SUM(COUNTIF(H28,{"*EDM*"})),"energetic",IF(H28="","","")))))))</f>
        <v/>
      </c>
      <c r="T28">
        <f t="array" ref="T28">IF(SUM(COUNTIF(H28,{"*Tech*";"*EDM*";"*Indie*";"*Deep*";"*Piano*";"*Slap*";"*Brazilian Bass*"})),"Song would perfectly fit in any dance mood playlist! Label will invest up to 5000 EUR advertising on facebook and instagram ads aswell as promoting it over label and label partners playlists, radio stations and press.",IF(SUM(COUNTIF(H28,{"*Lo-Fi*"})),"Song would perfectly fit in any Lo-Fi mood playlist! Label will invest up to 5000 EUR advertising on facebook and instagram ads aswell as promoting it over label and label partners playlists, radio stations and press.",IF(H28="","","")))</f>
        <v/>
      </c>
      <c r="U28">
        <f>IF(N28="Cover","SGL",IF(N28="Radio","SGL",IF(N28="Remix","RMX",IF(N28="","","SGL"))))</f>
        <v/>
      </c>
      <c r="V28">
        <f>IF(L28="Floating Blue Records","Instrumental only",IF(L28="Day Dose Of House","Electronic, Dance, Deep House",""))</f>
        <v/>
      </c>
      <c r="X28">
        <f t="array" aca="1" ref="X28" ca="1">+IF(H28="LO-FI","",IFERROR(INDEX(INDIRECT((_xlfn.XLOOKUP(H28,map_location[Genre],map_location[location]))),RANK(INDIRECT((_xlfn.XLOOKUP(H28,map_location[Genre],map_location[min])),FALSE),INDIRECT((_xlfn.XLOOKUP(H28,map_location[Genre],map_location[rand]))),1)),""))</f>
        <v/>
      </c>
      <c r="Y28">
        <f t="array" ref="Y28">IF(SUM(COUNTIF(H28,{"*Deep*";"*Bass*";"*Slap*"})),"**Deep House**House**Dance**",IF(SUM(COUNTIF(H28,{"*Lo-Fi*"})),"**Lo-Fi Pop**Lo-Fi Beats**Lo-Fi**",IF(SUM(COUNTIF(H28,{"*Tech*"})),"**Deep House**Tech House**Dance**",IF(SUM(COUNTIF(H28,{"*Indie/Chill Dance*"})),"**Indie Dance**Indie Electronic**Dance Pop**",IF(SUM(COUNTIF(H28,{"*Piano*"})),"**House**Electro house**Melodic House**",IF(SUM(COUNTIF(H28,{"*EDM*"})),"**EDM**Electro house**Dance Pop**",IF(H28="","","")))))))</f>
        <v/>
      </c>
      <c r="Z28">
        <f t="array" ref="Z28">IF(SUM(COUNTIF(H28,{"*Deep*";"*Bass*";"*Slap*"})),"Energetic,Happy",IF(SUM(COUNTIF(H28,{"*Lo-Fi*"})),"Romantic,Chill",IF(SUM(COUNTIF(H28,{"*Tech*"})),"Energetic,Happy",IF(SUM(COUNTIF(H28,{"*Indie/Chill Dance*"})),"Energetic,Chill",IF(SUM(COUNTIF(H28,{"*Piano*"})),"Energetic,Happy",IF(SUM(COUNTIF(H28,{"*EDM*"})),"Energetic,Happy",IF(H28="","","")))))))</f>
        <v/>
      </c>
      <c r="AA28">
        <f t="array" ref="AA28">IF(SUM(COUNTIF(H28,{"*Deep*";"*Bass*";"*Slap*"})),"None of these",IF(SUM(COUNTIF(H28,{"*Lo-Fi*"})),"Holiday,Beats",IF(SUM(COUNTIF(H28,{"*Tech*"})),"None of these",IF(SUM(COUNTIF(H28,{"*Indie/Chill Dance*"})),"None of these",IF(SUM(COUNTIF(H28,{"*Piano*"})),"None of these",IF(SUM(COUNTIF(H28,{"*EDM*"})),"None of these",IF(H28="","","")))))))</f>
        <v/>
      </c>
      <c r="AB28">
        <f t="array" ref="AB28">IF(SUM(COUNTIF(H28,{"*Deep*";"*Bass*";"*Slap*"})),"Samples,Synthesizer,Bass Guitar,Piano,Drum Kit,Electric Guitar",IF(SUM(COUNTIF(H28,{"*Lo-Fi*"})),"Samples,Synthesizer,Bass Guitar,Piano,Drum Kit,Electric Guitar",IF(SUM(COUNTIF(H28,{"*Tech*"})),"Samples,Synthesizer,Bass Guitar,Piano,Drum Kit,Electric Guitar",IF(SUM(COUNTIF(H28,{"*Indie/Chill Dance*"})),"Samples,Synthesizer,Bass Guitar,Piano,Drum Kit,Electric Guitar",IF(SUM(COUNTIF(H28,{"*Piano*"})),"Samples,Synthesizer,Bass Guitar,Piano,Drum Kit,Electric Guitar",IF(SUM(COUNTIF(H28,{"*EDM*"})),"Samples,Synthesizer,Bass Guitar,Piano,Drum Kit,Electric Guitar",IF(H28="","","")))))))</f>
        <v/>
      </c>
      <c r="AE28">
        <f>IF(ISTEXT(A28),"**English**","")</f>
        <v/>
      </c>
      <c r="AF28">
        <f t="array" aca="1" ref="AF28" ca="1">+TRIM(SUBSTITUTE(SUBSTITUTE(SUBSTITUTE(SUBSTITUTE(IFERROR(AO28&amp;" "&amp;+_xlfn.XLOOKUP(((SUM(LEN(AN28))-SUM(LEN(SUBSTITUTE(AN28,",",""))))/LEN(",")+1)&amp;H28,AV:AV&amp;AW:AW,AY:AY)&amp;CHAR(34)&amp;B28&amp;CHAR(34)&amp;"!"&amp;_xlfn.XLOOKUP(H28,text_list[Genre],text_list[Type based on genre]&amp;text_list[Label]),""),"Second",AP28),"Third",AQ28),"Forth",AR28),"Fifth",AS28&amp;" "))</f>
        <v/>
      </c>
      <c r="AH28">
        <f>IF(N33="Remix","Remix",IF(N33="Cover","Cover",IF(N33="Radio","Single",IF(N33="Radio/Extended","Original",""))))</f>
        <v/>
      </c>
      <c r="AI28">
        <f t="array" ref="AI28">IF(SUM(COUNTIF(H28,{"*Deep*";"*Bass*";"*Slap*"})),"**Tiësto**Imanbek**",IF(SUM(COUNTIF(H28,{"*Lo-Fi*"})),"**L.Dre**Yasumu**",IF(SUM(COUNTIF(H28,{"*Tech*"})),"**Mau P**Gorgon City**",IF(SUM(COUNTIF(H28,{"*Indie/Chill Dance*"})),"**Felix Jaehn**Lost Frequencies**",IF(SUM(COUNTIF(H28,{"*Piano*"})),"**Avicii**Eric Prydz**",IF(SUM(COUNTIF(H28,{"*EDM*"})),"**David Guetta**Swedish House Mafia**",IF(H28="","","")))))))</f>
        <v/>
      </c>
      <c r="AN28" s="20">
        <f>TRIM(SUBSTITUTE(SUBSTITUTE(SUBSTITUTE(A33,"&amp;",","),"feat",","),".",""))</f>
        <v/>
      </c>
      <c r="AO28" s="20">
        <f>IFERROR(_xlfn.TEXTBEFORE(AN28,","),AN28)</f>
        <v/>
      </c>
      <c r="AP28" s="20">
        <f>IFERROR(TRIM(SUBSTITUTE(SUBSTITUTE(SUBSTITUTE(SUBSTITUTE(_xlfn.TEXTAFTER(AN28,",",1),AQ28,""),AR28,""),AS28,""),",","")),"")</f>
        <v/>
      </c>
      <c r="AQ28" s="20">
        <f>IFERROR(SUBSTITUTE(SUBSTITUTE(SUBSTITUTE(_xlfn.TEXTAFTER(AN28,",",2),AR28,""),",",""),AS28,""),"")</f>
        <v/>
      </c>
      <c r="AR28" s="20">
        <f>IFERROR(SUBSTITUTE(SUBSTITUTE(_xlfn.TEXTAFTER(AN28,",",3),AS28,""),",",""),"")</f>
        <v/>
      </c>
      <c r="AS28" s="20">
        <f>IFERROR(_xlfn.TEXTAFTER(AN28,",",4),"")</f>
        <v/>
      </c>
      <c r="AV28" s="11" t="n">
        <v>2</v>
      </c>
      <c r="AW28" s="9" t="inlineStr">
        <is>
          <t>Slap House</t>
        </is>
      </c>
      <c r="AX28"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28">
        <f>+_xlfn.TEXTBEFORE(text_list[[#This Row],[Text]],"''''!",,0)</f>
        <v/>
      </c>
      <c r="AZ28">
        <f>+_xlfn.TEXTBEFORE(_xlfn.TEXTAFTER(text_list[[#This Row],[Text]],"'''!"),"Label")</f>
        <v/>
      </c>
      <c r="BA28">
        <f>+_xlfn.TEXTAFTER(text_list[[#This Row],[Text]],text_list[[#This Row],[Type based on genre]])</f>
        <v/>
      </c>
      <c r="BB28" t="inlineStr">
        <is>
          <t xml:space="preserve"> </t>
        </is>
      </c>
      <c r="BE28" t="inlineStr">
        <is>
          <t>**Australia**</t>
        </is>
      </c>
      <c r="BF28" t="inlineStr">
        <is>
          <t>Deep House</t>
        </is>
      </c>
      <c r="BG28">
        <f>+RAND()</f>
        <v/>
      </c>
      <c r="BJ28" t="inlineStr">
        <is>
          <t>**Australia**</t>
        </is>
      </c>
      <c r="BK28" t="inlineStr">
        <is>
          <t>Tech House</t>
        </is>
      </c>
      <c r="BL28">
        <f>+RAND()</f>
        <v/>
      </c>
      <c r="BN28" t="inlineStr">
        <is>
          <t>**Australia**</t>
        </is>
      </c>
      <c r="BO28" t="inlineStr">
        <is>
          <t>Piano House</t>
        </is>
      </c>
      <c r="BP28">
        <f>+RAND()</f>
        <v/>
      </c>
      <c r="BR28" t="inlineStr">
        <is>
          <t>**Australia**</t>
        </is>
      </c>
      <c r="BS28" t="inlineStr">
        <is>
          <t>Indie/Chill Dance</t>
        </is>
      </c>
      <c r="BT28">
        <f>+RAND()</f>
        <v/>
      </c>
      <c r="BV28" t="inlineStr">
        <is>
          <t>**Australia**</t>
        </is>
      </c>
      <c r="BW28" t="inlineStr">
        <is>
          <t>EDM</t>
        </is>
      </c>
      <c r="BX28">
        <f>+RAND()</f>
        <v/>
      </c>
    </row>
    <row r="29">
      <c r="A29" t="inlineStr">
        <is>
          <t>Brandon Study, flywtwo</t>
        </is>
      </c>
      <c r="B29" t="inlineStr">
        <is>
          <t>White Shadows</t>
        </is>
      </c>
      <c r="C29" t="inlineStr">
        <is>
          <t>Latvia</t>
        </is>
      </c>
      <c r="D29" t="inlineStr">
        <is>
          <t>February 10th, 2023</t>
        </is>
      </c>
      <c r="E29" t="inlineStr">
        <is>
          <t>10.02.2023</t>
        </is>
      </c>
      <c r="F29" s="3" t="n">
        <v>5063248034799</v>
      </c>
      <c r="G29" t="inlineStr">
        <is>
          <t>GX89G2347015</t>
        </is>
      </c>
      <c r="H29" t="inlineStr">
        <is>
          <t>Lo-Fi</t>
        </is>
      </c>
      <c r="I29" t="inlineStr">
        <is>
          <t>2</t>
        </is>
      </c>
      <c r="J29" t="inlineStr">
        <is>
          <t>26</t>
        </is>
      </c>
      <c r="K29" t="inlineStr">
        <is>
          <t>https://soundcloud.com/floatingbluerecords/brandon-study-flywtwo-white-shadows/s-6Tw8OaX2imv?si=9e010c7aa5ea421abc3a316204139d1b&amp;utm_source=clipboard&amp;utm_medium=text&amp;utm_campaign=social_sharing</t>
        </is>
      </c>
      <c r="L29" t="inlineStr">
        <is>
          <t>Floating Blue Records</t>
        </is>
      </c>
      <c r="M29" t="n">
        <v>2</v>
      </c>
      <c r="N29" t="inlineStr">
        <is>
          <t>Radio</t>
        </is>
      </c>
      <c r="O29">
        <f>IF(N29="Remix","Citas:Remix",IF(N29="Cover","Citas:Cover",IF(N29="Radio","Single",IF(N29="Radio/Extended","Single",""))))</f>
        <v/>
      </c>
      <c r="P29">
        <f>IF(M29=1,"High_Priority",IF(M29=2,"Priority",IF(M29=3,"General_Release",IF(M29=4,"General_Release",IF(M29="","")))))</f>
        <v/>
      </c>
      <c r="Q29">
        <f>IF(N29="Remix","Citas:Remix",IF(N29="Cover","Citas:Cover",IF(N29="Radio","Single",IF(N29="Radio/Extended","Single",""))))</f>
        <v/>
      </c>
      <c r="R29">
        <f t="array" ref="R29">IF(SUM(COUNTIF(H29,{"*Deep*";"*Bass*";"*Slap*"})),"Citas:Deep House",IF(SUM(COUNTIF(H29,{"*Lo-Fi*"})),"Citas:Lo-Fi",IF(SUM(COUNTIF(H29,{"*Tech*"})),"Citas:Tech House",IF(SUM(COUNTIF(H29,{"*Indie/Chill Dance*"})),"Citas:Indie/Chill Dance",IF(SUM(COUNTIF(H29,{"*Piano*"})),"Citas:Piano House",IF(SUM(COUNTIF(H29,{"*EDM*"})),"edm dance",IF(H29="","","")))))))</f>
        <v/>
      </c>
      <c r="S29">
        <f t="array" ref="S29">IF(SUM(COUNTIF(H29,{"*Deep*";"*Bass*";"*Slap*"})),"energetic",IF(SUM(COUNTIF(H29,{"*Lo-Fi*"})),"calm",IF(SUM(COUNTIF(H29,{"*Tech*"})),"energetic",IF(SUM(COUNTIF(H29,{"*Indie/Chill Dance*"})),"chillout",IF(SUM(COUNTIF(H29,{"*Piano*"})),"energetic",IF(SUM(COUNTIF(H29,{"*EDM*"})),"energetic",IF(H29="","","")))))))</f>
        <v/>
      </c>
      <c r="T29">
        <f t="array" ref="T29">IF(SUM(COUNTIF(H29,{"*Tech*";"*EDM*";"*Indie*";"*Deep*";"*Piano*";"*Slap*";"*Brazilian Bass*"})),"Song would perfectly fit in any dance mood playlist! Label will invest up to 5000 EUR advertising on facebook and instagram ads aswell as promoting it over label and label partners playlists, radio stations and press.",IF(SUM(COUNTIF(H29,{"*Lo-Fi*"})),"Song would perfectly fit in any Lo-Fi mood playlist! Label will invest up to 5000 EUR advertising on facebook and instagram ads aswell as promoting it over label and label partners playlists, radio stations and press.",IF(H29="","","")))</f>
        <v/>
      </c>
      <c r="U29">
        <f>IF(N29="Cover","SGL",IF(N29="Radio","SGL",IF(N29="Remix","RMX",IF(N29="","","SGL"))))</f>
        <v/>
      </c>
      <c r="V29">
        <f>IF(L29="Floating Blue Records","Instrumental only",IF(L29="Day Dose Of House","Electronic, Dance, Deep House",""))</f>
        <v/>
      </c>
      <c r="X29">
        <f t="array" aca="1" ref="X29" ca="1">+IF(H29="LO-FI","",IFERROR(INDEX(INDIRECT((_xlfn.XLOOKUP(H29,map_location[Genre],map_location[location]))),RANK(INDIRECT((_xlfn.XLOOKUP(H29,map_location[Genre],map_location[min])),FALSE),INDIRECT((_xlfn.XLOOKUP(H29,map_location[Genre],map_location[rand]))),1)),""))</f>
        <v/>
      </c>
      <c r="Y29">
        <f t="array" ref="Y29">IF(SUM(COUNTIF(H29,{"*Deep*";"*Bass*";"*Slap*"})),"**Deep House**House**Dance**",IF(SUM(COUNTIF(H29,{"*Lo-Fi*"})),"**Lo-Fi Pop**Lo-Fi Beats**Lo-Fi**",IF(SUM(COUNTIF(H29,{"*Tech*"})),"**Deep House**Tech House**Dance**",IF(SUM(COUNTIF(H29,{"*Indie/Chill Dance*"})),"**Indie Dance**Indie Electronic**Dance Pop**",IF(SUM(COUNTIF(H29,{"*Piano*"})),"**House**Electro house**Melodic House**",IF(SUM(COUNTIF(H29,{"*EDM*"})),"**EDM**Electro house**Dance Pop**",IF(H29="","","")))))))</f>
        <v/>
      </c>
      <c r="Z29">
        <f t="array" ref="Z29">IF(SUM(COUNTIF(H29,{"*Deep*";"*Bass*";"*Slap*"})),"Energetic,Happy",IF(SUM(COUNTIF(H29,{"*Lo-Fi*"})),"Romantic,Chill",IF(SUM(COUNTIF(H29,{"*Tech*"})),"Energetic,Happy",IF(SUM(COUNTIF(H29,{"*Indie/Chill Dance*"})),"Energetic,Chill",IF(SUM(COUNTIF(H29,{"*Piano*"})),"Energetic,Happy",IF(SUM(COUNTIF(H29,{"*EDM*"})),"Energetic,Happy",IF(H29="","","")))))))</f>
        <v/>
      </c>
      <c r="AA29">
        <f t="array" ref="AA29">IF(SUM(COUNTIF(H29,{"*Deep*";"*Bass*";"*Slap*"})),"None of these",IF(SUM(COUNTIF(H29,{"*Lo-Fi*"})),"Holiday,Beats",IF(SUM(COUNTIF(H29,{"*Tech*"})),"None of these",IF(SUM(COUNTIF(H29,{"*Indie/Chill Dance*"})),"None of these",IF(SUM(COUNTIF(H29,{"*Piano*"})),"None of these",IF(SUM(COUNTIF(H29,{"*EDM*"})),"None of these",IF(H29="","","")))))))</f>
        <v/>
      </c>
      <c r="AB29">
        <f t="array" ref="AB29">IF(SUM(COUNTIF(H29,{"*Deep*";"*Bass*";"*Slap*"})),"Samples,Synthesizer,Bass Guitar,Piano,Drum Kit,Electric Guitar",IF(SUM(COUNTIF(H29,{"*Lo-Fi*"})),"Samples,Synthesizer,Bass Guitar,Piano,Drum Kit,Electric Guitar",IF(SUM(COUNTIF(H29,{"*Tech*"})),"Samples,Synthesizer,Bass Guitar,Piano,Drum Kit,Electric Guitar",IF(SUM(COUNTIF(H29,{"*Indie/Chill Dance*"})),"Samples,Synthesizer,Bass Guitar,Piano,Drum Kit,Electric Guitar",IF(SUM(COUNTIF(H29,{"*Piano*"})),"Samples,Synthesizer,Bass Guitar,Piano,Drum Kit,Electric Guitar",IF(SUM(COUNTIF(H29,{"*EDM*"})),"Samples,Synthesizer,Bass Guitar,Piano,Drum Kit,Electric Guitar",IF(H29="","","")))))))</f>
        <v/>
      </c>
      <c r="AE29">
        <f>IF(ISTEXT(A29),"**English**","")</f>
        <v/>
      </c>
      <c r="AF29">
        <f t="array" aca="1" ref="AF29" ca="1">+TRIM(SUBSTITUTE(SUBSTITUTE(SUBSTITUTE(SUBSTITUTE(IFERROR(AO29&amp;" "&amp;+_xlfn.XLOOKUP(((SUM(LEN(AN29))-SUM(LEN(SUBSTITUTE(AN29,",",""))))/LEN(",")+1)&amp;H29,AV:AV&amp;AW:AW,AY:AY)&amp;CHAR(34)&amp;B29&amp;CHAR(34)&amp;"!"&amp;_xlfn.XLOOKUP(H29,text_list[Genre],text_list[Type based on genre]&amp;text_list[Label]),""),"Second",AP29),"Third",AQ29),"Forth",AR29),"Fifth",AS29&amp;" "))</f>
        <v/>
      </c>
      <c r="AH29">
        <f>IF(N34="Remix","Remix",IF(N34="Cover","Cover",IF(N34="Radio","Single",IF(N34="Radio/Extended","Original",""))))</f>
        <v/>
      </c>
      <c r="AI29">
        <f t="array" ref="AI29">IF(SUM(COUNTIF(H29,{"*Deep*";"*Bass*";"*Slap*"})),"**Tiësto**Imanbek**",IF(SUM(COUNTIF(H29,{"*Lo-Fi*"})),"**L.Dre**Yasumu**",IF(SUM(COUNTIF(H29,{"*Tech*"})),"**Mau P**Gorgon City**",IF(SUM(COUNTIF(H29,{"*Indie/Chill Dance*"})),"**Felix Jaehn**Lost Frequencies**",IF(SUM(COUNTIF(H29,{"*Piano*"})),"**Avicii**Eric Prydz**",IF(SUM(COUNTIF(H29,{"*EDM*"})),"**David Guetta**Swedish House Mafia**",IF(H29="","","")))))))</f>
        <v/>
      </c>
      <c r="AN29" s="20">
        <f>TRIM(SUBSTITUTE(SUBSTITUTE(SUBSTITUTE(A34,"&amp;",","),"feat",","),".",""))</f>
        <v/>
      </c>
      <c r="AO29" s="20">
        <f>IFERROR(_xlfn.TEXTBEFORE(AN29,","),AN29)</f>
        <v/>
      </c>
      <c r="AP29" s="20">
        <f>IFERROR(TRIM(SUBSTITUTE(SUBSTITUTE(SUBSTITUTE(SUBSTITUTE(_xlfn.TEXTAFTER(AN29,",",1),AQ29,""),AR29,""),AS29,""),",","")),"")</f>
        <v/>
      </c>
      <c r="AQ29" s="20">
        <f>IFERROR(SUBSTITUTE(SUBSTITUTE(SUBSTITUTE(_xlfn.TEXTAFTER(AN29,",",2),AR29,""),",",""),AS29,""),"")</f>
        <v/>
      </c>
      <c r="AR29" s="20">
        <f>IFERROR(SUBSTITUTE(SUBSTITUTE(_xlfn.TEXTAFTER(AN29,",",3),AS29,""),",",""),"")</f>
        <v/>
      </c>
      <c r="AS29" s="20">
        <f>IFERROR(_xlfn.TEXTAFTER(AN29,",",4),"")</f>
        <v/>
      </c>
      <c r="AV29" s="11" t="n">
        <v>3</v>
      </c>
      <c r="AW29" s="9" t="inlineStr">
        <is>
          <t>Slap House</t>
        </is>
      </c>
      <c r="AX29"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29">
        <f>+_xlfn.TEXTBEFORE(text_list[[#This Row],[Text]],"''''!",,0)</f>
        <v/>
      </c>
      <c r="AZ29">
        <f>+_xlfn.TEXTBEFORE(_xlfn.TEXTAFTER(text_list[[#This Row],[Text]],"'''!"),"Label")</f>
        <v/>
      </c>
      <c r="BA29">
        <f>+_xlfn.TEXTAFTER(text_list[[#This Row],[Text]],text_list[[#This Row],[Type based on genre]])</f>
        <v/>
      </c>
      <c r="BB29" t="inlineStr">
        <is>
          <t xml:space="preserve"> </t>
        </is>
      </c>
      <c r="BE29" t="inlineStr">
        <is>
          <t>**Colombia**</t>
        </is>
      </c>
      <c r="BF29" t="inlineStr">
        <is>
          <t>Deep House</t>
        </is>
      </c>
      <c r="BG29">
        <f>+RAND()</f>
        <v/>
      </c>
      <c r="BJ29" t="inlineStr">
        <is>
          <t>**Colombia**</t>
        </is>
      </c>
      <c r="BK29" t="inlineStr">
        <is>
          <t>Tech House</t>
        </is>
      </c>
      <c r="BL29">
        <f>+RAND()</f>
        <v/>
      </c>
      <c r="BN29" t="inlineStr">
        <is>
          <t>**Colombia**</t>
        </is>
      </c>
      <c r="BO29" t="inlineStr">
        <is>
          <t>Piano House</t>
        </is>
      </c>
      <c r="BP29">
        <f>+RAND()</f>
        <v/>
      </c>
      <c r="BR29" t="inlineStr">
        <is>
          <t>**Colombia**</t>
        </is>
      </c>
      <c r="BS29" t="inlineStr">
        <is>
          <t>Indie/Chill Dance</t>
        </is>
      </c>
      <c r="BT29">
        <f>+RAND()</f>
        <v/>
      </c>
      <c r="BV29" t="inlineStr">
        <is>
          <t>**Colombia**</t>
        </is>
      </c>
      <c r="BW29" t="inlineStr">
        <is>
          <t>EDM</t>
        </is>
      </c>
      <c r="BX29">
        <f>+RAND()</f>
        <v/>
      </c>
    </row>
    <row r="30">
      <c r="A30" t="inlineStr">
        <is>
          <t>Brandon Study, flywtwo</t>
        </is>
      </c>
      <c r="B30" t="inlineStr">
        <is>
          <t>White Shadows</t>
        </is>
      </c>
      <c r="C30" t="inlineStr">
        <is>
          <t>Latvia</t>
        </is>
      </c>
      <c r="D30" t="inlineStr">
        <is>
          <t>February 10th, 2023</t>
        </is>
      </c>
      <c r="E30" t="inlineStr">
        <is>
          <t>10.02.2023</t>
        </is>
      </c>
      <c r="F30" s="3" t="n">
        <v>5063248034799</v>
      </c>
      <c r="G30" t="inlineStr">
        <is>
          <t>GX89G2347015</t>
        </is>
      </c>
      <c r="H30" t="inlineStr">
        <is>
          <t>Lo-Fi</t>
        </is>
      </c>
      <c r="I30" t="inlineStr">
        <is>
          <t>2</t>
        </is>
      </c>
      <c r="J30" t="inlineStr">
        <is>
          <t>26</t>
        </is>
      </c>
      <c r="K30" t="inlineStr">
        <is>
          <t>https://soundcloud.com/floatingbluerecords/brandon-study-flywtwo-white-shadows/s-6Tw8OaX2imv?si=9e010c7aa5ea421abc3a316204139d1b&amp;utm_source=clipboard&amp;utm_medium=text&amp;utm_campaign=social_sharing</t>
        </is>
      </c>
      <c r="L30" t="inlineStr">
        <is>
          <t>Floating Blue Records</t>
        </is>
      </c>
      <c r="M30" t="n">
        <v>2</v>
      </c>
      <c r="N30" t="inlineStr">
        <is>
          <t>Radio</t>
        </is>
      </c>
      <c r="O30">
        <f>IF(N30="Remix","Citas:Remix",IF(N30="Cover","Citas:Cover",IF(N30="Radio","Single",IF(N30="Radio/Extended","Single",""))))</f>
        <v/>
      </c>
      <c r="P30">
        <f>IF(M30=1,"High_Priority",IF(M30=2,"Priority",IF(M30=3,"General_Release",IF(M30=4,"General_Release",IF(M30="","")))))</f>
        <v/>
      </c>
      <c r="Q30">
        <f>IF(N30="Remix","Citas:Remix",IF(N30="Cover","Citas:Cover",IF(N30="Radio","Single",IF(N30="Radio/Extended","Single",""))))</f>
        <v/>
      </c>
      <c r="R30">
        <f t="array" ref="R30">IF(SUM(COUNTIF(H30,{"*Deep*";"*Bass*";"*Slap*"})),"Citas:Deep House",IF(SUM(COUNTIF(H30,{"*Lo-Fi*"})),"Citas:Lo-Fi",IF(SUM(COUNTIF(H30,{"*Tech*"})),"Citas:Tech House",IF(SUM(COUNTIF(H30,{"*Indie/Chill Dance*"})),"Citas:Indie/Chill Dance",IF(SUM(COUNTIF(H30,{"*Piano*"})),"Citas:Piano House",IF(SUM(COUNTIF(H30,{"*EDM*"})),"edm dance",IF(H30="","","")))))))</f>
        <v/>
      </c>
      <c r="S30">
        <f t="array" ref="S30">IF(SUM(COUNTIF(H30,{"*Deep*";"*Bass*";"*Slap*"})),"energetic",IF(SUM(COUNTIF(H30,{"*Lo-Fi*"})),"calm",IF(SUM(COUNTIF(H30,{"*Tech*"})),"energetic",IF(SUM(COUNTIF(H30,{"*Indie/Chill Dance*"})),"chillout",IF(SUM(COUNTIF(H30,{"*Piano*"})),"energetic",IF(SUM(COUNTIF(H30,{"*EDM*"})),"energetic",IF(H30="","","")))))))</f>
        <v/>
      </c>
      <c r="T30">
        <f t="array" ref="T30">IF(SUM(COUNTIF(H30,{"*Tech*";"*EDM*";"*Indie*";"*Deep*";"*Piano*";"*Slap*";"*Brazilian Bass*"})),"Song would perfectly fit in any dance mood playlist! Label will invest up to 5000 EUR advertising on facebook and instagram ads aswell as promoting it over label and label partners playlists, radio stations and press.",IF(SUM(COUNTIF(H30,{"*Lo-Fi*"})),"Song would perfectly fit in any Lo-Fi mood playlist! Label will invest up to 5000 EUR advertising on facebook and instagram ads aswell as promoting it over label and label partners playlists, radio stations and press.",IF(H30="","","")))</f>
        <v/>
      </c>
      <c r="U30">
        <f>IF(N30="Cover","SGL",IF(N30="Radio","SGL",IF(N30="Remix","RMX",IF(N30="","","SGL"))))</f>
        <v/>
      </c>
      <c r="V30">
        <f>IF(L30="Floating Blue Records","Instrumental only",IF(L30="Day Dose Of House","Electronic, Dance, Deep House",""))</f>
        <v/>
      </c>
      <c r="X30">
        <f t="array" aca="1" ref="X30" ca="1">+IF(H30="LO-FI","",IFERROR(INDEX(INDIRECT((_xlfn.XLOOKUP(H30,map_location[Genre],map_location[location]))),RANK(INDIRECT((_xlfn.XLOOKUP(H30,map_location[Genre],map_location[min])),FALSE),INDIRECT((_xlfn.XLOOKUP(H30,map_location[Genre],map_location[rand]))),1)),""))</f>
        <v/>
      </c>
      <c r="Z30">
        <f t="array" ref="Z30">IF(SUM(COUNTIF(H30,{"*Deep*";"*Bass*";"*Slap*"})),"Energetic,Happy",IF(SUM(COUNTIF(H30,{"*Lo-Fi*"})),"Romantic,Chill",IF(SUM(COUNTIF(H30,{"*Tech*"})),"Energetic,Happy",IF(SUM(COUNTIF(H30,{"*Indie/Chill Dance*"})),"Energetic,Chill",IF(SUM(COUNTIF(H30,{"*Piano*"})),"Energetic,Happy",IF(SUM(COUNTIF(H30,{"*EDM*"})),"Energetic,Happy",IF(H30="","","")))))))</f>
        <v/>
      </c>
      <c r="AA30">
        <f t="array" ref="AA30">IF(SUM(COUNTIF(H30,{"*Deep*";"*Bass*";"*Slap*"})),"None of these",IF(SUM(COUNTIF(H30,{"*Lo-Fi*"})),"Holiday,Beats",IF(SUM(COUNTIF(H30,{"*Tech*"})),"None of these",IF(SUM(COUNTIF(H30,{"*Indie/Chill Dance*"})),"None of these",IF(SUM(COUNTIF(H30,{"*Piano*"})),"None of these",IF(SUM(COUNTIF(H30,{"*EDM*"})),"None of these",IF(H30="","","")))))))</f>
        <v/>
      </c>
      <c r="AB30">
        <f t="array" ref="AB30">IF(SUM(COUNTIF(H30,{"*Deep*";"*Bass*";"*Slap*"})),"Samples,Synthesizer,Bass Guitar,Piano,Drum Kit,Electric Guitar",IF(SUM(COUNTIF(H30,{"*Lo-Fi*"})),"Samples,Synthesizer,Bass Guitar,Piano,Drum Kit,Electric Guitar",IF(SUM(COUNTIF(H30,{"*Tech*"})),"Samples,Synthesizer,Bass Guitar,Piano,Drum Kit,Electric Guitar",IF(SUM(COUNTIF(H30,{"*Indie/Chill Dance*"})),"Samples,Synthesizer,Bass Guitar,Piano,Drum Kit,Electric Guitar",IF(SUM(COUNTIF(H30,{"*Piano*"})),"Samples,Synthesizer,Bass Guitar,Piano,Drum Kit,Electric Guitar",IF(SUM(COUNTIF(H30,{"*EDM*"})),"Samples,Synthesizer,Bass Guitar,Piano,Drum Kit,Electric Guitar",IF(H30="","","")))))))</f>
        <v/>
      </c>
      <c r="AE30">
        <f>IF(ISTEXT(A30),"**English**","")</f>
        <v/>
      </c>
      <c r="AF30">
        <f t="array" aca="1" ref="AF30" ca="1">+TRIM(SUBSTITUTE(SUBSTITUTE(SUBSTITUTE(SUBSTITUTE(IFERROR(AO30&amp;" "&amp;+_xlfn.XLOOKUP(((SUM(LEN(AN30))-SUM(LEN(SUBSTITUTE(AN30,",",""))))/LEN(",")+1)&amp;H30,AV:AV&amp;AW:AW,AY:AY)&amp;CHAR(34)&amp;B30&amp;CHAR(34)&amp;"!"&amp;_xlfn.XLOOKUP(H30,text_list[Genre],text_list[Type based on genre]&amp;text_list[Label]),""),"Second",AP30),"Third",AQ30),"Forth",AR30),"Fifth",AS30&amp;" "))</f>
        <v/>
      </c>
      <c r="AH30">
        <f>IF(N35="Remix","Remix",IF(N35="Cover","Cover",IF(N35="Radio","Single",IF(N35="Radio/Extended","Original",""))))</f>
        <v/>
      </c>
      <c r="AI30">
        <f t="array" ref="AI30">IF(SUM(COUNTIF(H30,{"*Deep*";"*Bass*";"*Slap*"})),"**Tiësto**Imanbek**",IF(SUM(COUNTIF(H30,{"*Lo-Fi*"})),"**L.Dre**Yasumu**",IF(SUM(COUNTIF(H30,{"*Tech*"})),"**Mau P**Gorgon City**",IF(SUM(COUNTIF(H30,{"*Indie/Chill Dance*"})),"**Felix Jaehn**Lost Frequencies**",IF(SUM(COUNTIF(H30,{"*Piano*"})),"**Avicii**Eric Prydz**",IF(SUM(COUNTIF(H30,{"*EDM*"})),"**David Guetta**Swedish House Mafia**",IF(H30="","","")))))))</f>
        <v/>
      </c>
      <c r="AN30" s="20">
        <f>TRIM(SUBSTITUTE(SUBSTITUTE(SUBSTITUTE(A35,"&amp;",","),"feat",","),".",""))</f>
        <v/>
      </c>
      <c r="AO30" s="20">
        <f>IFERROR(_xlfn.TEXTBEFORE(AN30,","),AN30)</f>
        <v/>
      </c>
      <c r="AP30" s="20">
        <f>IFERROR(TRIM(SUBSTITUTE(SUBSTITUTE(SUBSTITUTE(SUBSTITUTE(_xlfn.TEXTAFTER(AN30,",",1),AQ30,""),AR30,""),AS30,""),",","")),"")</f>
        <v/>
      </c>
      <c r="AQ30" s="20">
        <f>IFERROR(SUBSTITUTE(SUBSTITUTE(SUBSTITUTE(_xlfn.TEXTAFTER(AN30,",",2),AR30,""),",",""),AS30,""),"")</f>
        <v/>
      </c>
      <c r="AR30" s="20">
        <f>IFERROR(SUBSTITUTE(SUBSTITUTE(_xlfn.TEXTAFTER(AN30,",",3),AS30,""),",",""),"")</f>
        <v/>
      </c>
      <c r="AS30" s="20">
        <f>IFERROR(_xlfn.TEXTAFTER(AN30,",",4),"")</f>
        <v/>
      </c>
      <c r="AV30" s="11" t="n">
        <v>4</v>
      </c>
      <c r="AW30" s="9" t="inlineStr">
        <is>
          <t>Slap House</t>
        </is>
      </c>
      <c r="AX30" s="12" t="inlineStr">
        <is>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30">
        <f>+_xlfn.TEXTBEFORE(text_list[[#This Row],[Text]],"''''!",,0)</f>
        <v/>
      </c>
      <c r="AZ30">
        <f>+_xlfn.TEXTBEFORE(_xlfn.TEXTAFTER(text_list[[#This Row],[Text]],"'''!"),"Label")</f>
        <v/>
      </c>
      <c r="BA30">
        <f>+_xlfn.TEXTAFTER(text_list[[#This Row],[Text]],text_list[[#This Row],[Type based on genre]])</f>
        <v/>
      </c>
      <c r="BB30" t="inlineStr">
        <is>
          <t xml:space="preserve"> </t>
        </is>
      </c>
      <c r="BE30" t="inlineStr">
        <is>
          <t>**Chile**</t>
        </is>
      </c>
      <c r="BF30" t="inlineStr">
        <is>
          <t>Deep House</t>
        </is>
      </c>
      <c r="BG30">
        <f>+RAND()</f>
        <v/>
      </c>
      <c r="BJ30" t="inlineStr">
        <is>
          <t>**Chile**</t>
        </is>
      </c>
      <c r="BK30" t="inlineStr">
        <is>
          <t>Tech House</t>
        </is>
      </c>
      <c r="BL30">
        <f>+RAND()</f>
        <v/>
      </c>
      <c r="BN30" t="inlineStr">
        <is>
          <t>**Chile**</t>
        </is>
      </c>
      <c r="BO30" t="inlineStr">
        <is>
          <t>Piano House</t>
        </is>
      </c>
      <c r="BP30">
        <f>+RAND()</f>
        <v/>
      </c>
      <c r="BR30" t="inlineStr">
        <is>
          <t>**Chile**</t>
        </is>
      </c>
      <c r="BS30" t="inlineStr">
        <is>
          <t>Indie/Chill Dance</t>
        </is>
      </c>
      <c r="BT30">
        <f>+RAND()</f>
        <v/>
      </c>
      <c r="BV30" t="inlineStr">
        <is>
          <t>**Chile**</t>
        </is>
      </c>
      <c r="BW30" t="inlineStr">
        <is>
          <t>EDM</t>
        </is>
      </c>
      <c r="BX30">
        <f>+RAND()</f>
        <v/>
      </c>
    </row>
    <row r="31">
      <c r="A31" t="inlineStr">
        <is>
          <t>Brandon Study, flywtwo</t>
        </is>
      </c>
      <c r="B31" t="inlineStr">
        <is>
          <t>White Shadows</t>
        </is>
      </c>
      <c r="C31" t="inlineStr">
        <is>
          <t>Latvia</t>
        </is>
      </c>
      <c r="D31" t="inlineStr">
        <is>
          <t>February 10th, 2023</t>
        </is>
      </c>
      <c r="E31" t="inlineStr">
        <is>
          <t>10.02.2023</t>
        </is>
      </c>
      <c r="F31" s="3" t="n">
        <v>5063248034799</v>
      </c>
      <c r="G31" t="inlineStr">
        <is>
          <t>GX89G2347015</t>
        </is>
      </c>
      <c r="H31" t="inlineStr">
        <is>
          <t>Lo-Fi</t>
        </is>
      </c>
      <c r="I31" t="inlineStr">
        <is>
          <t>2</t>
        </is>
      </c>
      <c r="J31" t="inlineStr">
        <is>
          <t>26</t>
        </is>
      </c>
      <c r="K31" t="inlineStr">
        <is>
          <t>https://soundcloud.com/floatingbluerecords/brandon-study-flywtwo-white-shadows/s-6Tw8OaX2imv?si=9e010c7aa5ea421abc3a316204139d1b&amp;utm_source=clipboard&amp;utm_medium=text&amp;utm_campaign=social_sharing</t>
        </is>
      </c>
      <c r="L31" t="inlineStr">
        <is>
          <t>Floating Blue Records</t>
        </is>
      </c>
      <c r="M31" t="n">
        <v>2</v>
      </c>
      <c r="N31" t="inlineStr">
        <is>
          <t>Radio</t>
        </is>
      </c>
      <c r="O31">
        <f>IF(N31="Remix","Citas:Remix",IF(N31="Cover","Citas:Cover",IF(N31="Radio","Single",IF(N31="Radio/Extended","Single",""))))</f>
        <v/>
      </c>
      <c r="P31">
        <f>IF(M31=1,"High_Priority",IF(M31=2,"Priority",IF(M31=3,"General_Release",IF(M31=4,"General_Release",IF(M31="","")))))</f>
        <v/>
      </c>
      <c r="Q31">
        <f>IF(N31="Remix","Citas:Remix",IF(N31="Cover","Citas:Cover",IF(N31="Radio","Single",IF(N31="Radio/Extended","Single",""))))</f>
        <v/>
      </c>
      <c r="R31">
        <f t="array" ref="R31">IF(SUM(COUNTIF(H31,{"*Deep*";"*Bass*";"*Slap*"})),"Citas:Deep House",IF(SUM(COUNTIF(H31,{"*Lo-Fi*"})),"Citas:Lo-Fi",IF(SUM(COUNTIF(H31,{"*Tech*"})),"Citas:Tech House",IF(SUM(COUNTIF(H31,{"*Indie/Chill Dance*"})),"Citas:Indie/Chill Dance",IF(SUM(COUNTIF(H31,{"*Piano*"})),"Citas:Piano House",IF(SUM(COUNTIF(H31,{"*EDM*"})),"edm dance",IF(H31="","","")))))))</f>
        <v/>
      </c>
      <c r="S31">
        <f t="array" ref="S31">IF(SUM(COUNTIF(H31,{"*Deep*";"*Bass*";"*Slap*"})),"energetic",IF(SUM(COUNTIF(H31,{"*Lo-Fi*"})),"calm",IF(SUM(COUNTIF(H31,{"*Tech*"})),"energetic",IF(SUM(COUNTIF(H31,{"*Indie/Chill Dance*"})),"chillout",IF(SUM(COUNTIF(H31,{"*Piano*"})),"energetic",IF(SUM(COUNTIF(H31,{"*EDM*"})),"energetic",IF(H31="","","")))))))</f>
        <v/>
      </c>
      <c r="T31">
        <f t="array" ref="T31">IF(SUM(COUNTIF(H31,{"*Tech*";"*EDM*";"*Indie*";"*Deep*";"*Piano*";"*Slap*";"*Brazilian Bass*"})),"Song would perfectly fit in any dance mood playlist! Label will invest up to 5000 EUR advertising on facebook and instagram ads aswell as promoting it over label and label partners playlists, radio stations and press.",IF(SUM(COUNTIF(H31,{"*Lo-Fi*"})),"Song would perfectly fit in any Lo-Fi mood playlist! Label will invest up to 5000 EUR advertising on facebook and instagram ads aswell as promoting it over label and label partners playlists, radio stations and press.",IF(H31="","","")))</f>
        <v/>
      </c>
      <c r="U31">
        <f>IF(N31="Cover","SGL",IF(N31="Radio","SGL",IF(N31="Remix","RMX",IF(N31="","","SGL"))))</f>
        <v/>
      </c>
      <c r="V31">
        <f>IF(L31="Floating Blue Records","Instrumental only",IF(L31="Day Dose Of House","Electronic, Dance, Deep House",""))</f>
        <v/>
      </c>
      <c r="Z31">
        <f t="array" ref="Z31">IF(SUM(COUNTIF(H31,{"*Deep*";"*Bass*";"*Slap*"})),"Energetic,Happy",IF(SUM(COUNTIF(H31,{"*Lo-Fi*"})),"Romantic,Chill",IF(SUM(COUNTIF(H31,{"*Tech*"})),"Energetic,Happy",IF(SUM(COUNTIF(H31,{"*Indie/Chill Dance*"})),"Energetic,Chill",IF(SUM(COUNTIF(H31,{"*Piano*"})),"Energetic,Happy",IF(SUM(COUNTIF(H31,{"*EDM*"})),"Energetic,Happy",IF(H31="","","")))))))</f>
        <v/>
      </c>
      <c r="AA31">
        <f t="array" ref="AA31">IF(SUM(COUNTIF(H31,{"*Deep*";"*Bass*";"*Slap*"})),"None of these",IF(SUM(COUNTIF(H31,{"*Lo-Fi*"})),"Holiday,Beats",IF(SUM(COUNTIF(H31,{"*Tech*"})),"None of these",IF(SUM(COUNTIF(H31,{"*Indie/Chill Dance*"})),"None of these",IF(SUM(COUNTIF(H31,{"*Piano*"})),"None of these",IF(SUM(COUNTIF(H31,{"*EDM*"})),"None of these",IF(H31="","","")))))))</f>
        <v/>
      </c>
      <c r="AB31">
        <f t="array" ref="AB31">IF(SUM(COUNTIF(H31,{"*Deep*";"*Bass*";"*Slap*"})),"Samples,Synthesizer,Bass Guitar,Piano,Drum Kit,Electric Guitar",IF(SUM(COUNTIF(H31,{"*Lo-Fi*"})),"Samples,Synthesizer,Bass Guitar,Piano,Drum Kit,Electric Guitar",IF(SUM(COUNTIF(H31,{"*Tech*"})),"Samples,Synthesizer,Bass Guitar,Piano,Drum Kit,Electric Guitar",IF(SUM(COUNTIF(H31,{"*Indie/Chill Dance*"})),"Samples,Synthesizer,Bass Guitar,Piano,Drum Kit,Electric Guitar",IF(SUM(COUNTIF(H31,{"*Piano*"})),"Samples,Synthesizer,Bass Guitar,Piano,Drum Kit,Electric Guitar",IF(SUM(COUNTIF(H31,{"*EDM*"})),"Samples,Synthesizer,Bass Guitar,Piano,Drum Kit,Electric Guitar",IF(H31="","","")))))))</f>
        <v/>
      </c>
      <c r="AE31">
        <f>IF(ISTEXT(A31),"**English**","")</f>
        <v/>
      </c>
      <c r="AF31">
        <f t="array" aca="1" ref="AF31" ca="1">+TRIM(SUBSTITUTE(SUBSTITUTE(SUBSTITUTE(SUBSTITUTE(IFERROR(AO31&amp;" "&amp;+_xlfn.XLOOKUP(((SUM(LEN(AN31))-SUM(LEN(SUBSTITUTE(AN31,",",""))))/LEN(",")+1)&amp;H31,AV:AV&amp;AW:AW,AY:AY)&amp;CHAR(34)&amp;B31&amp;CHAR(34)&amp;"!"&amp;_xlfn.XLOOKUP(H31,text_list[Genre],text_list[Type based on genre]&amp;text_list[Label]),""),"Second",AP31),"Third",AQ31),"Forth",AR31),"Fifth",AS31&amp;" "))</f>
        <v/>
      </c>
      <c r="AH31">
        <f>IF(N36="Remix","Remix",IF(N36="Cover","Cover",IF(N36="Radio","Single",IF(N36="Radio/Extended","Original",""))))</f>
        <v/>
      </c>
      <c r="AI31">
        <f t="array" ref="AI31">IF(SUM(COUNTIF(H31,{"*Deep*";"*Bass*";"*Slap*"})),"**Tiësto**Imanbek**",IF(SUM(COUNTIF(H31,{"*Lo-Fi*"})),"**L.Dre**Yasumu**",IF(SUM(COUNTIF(H31,{"*Tech*"})),"**Mau P**Gorgon City**",IF(SUM(COUNTIF(H31,{"*Indie/Chill Dance*"})),"**Felix Jaehn**Lost Frequencies**",IF(SUM(COUNTIF(H31,{"*Piano*"})),"**Avicii**Eric Prydz**",IF(SUM(COUNTIF(H31,{"*EDM*"})),"**David Guetta**Swedish House Mafia**",IF(H31="","","")))))))</f>
        <v/>
      </c>
      <c r="AN31" s="20">
        <f>TRIM(SUBSTITUTE(SUBSTITUTE(SUBSTITUTE(A36,"&amp;",","),"feat",","),".",""))</f>
        <v/>
      </c>
      <c r="AO31" s="20">
        <f>IFERROR(_xlfn.TEXTBEFORE(AN31,","),AN31)</f>
        <v/>
      </c>
      <c r="AP31" s="20">
        <f>IFERROR(TRIM(SUBSTITUTE(SUBSTITUTE(SUBSTITUTE(SUBSTITUTE(_xlfn.TEXTAFTER(AN31,",",1),AQ31,""),AR31,""),AS31,""),",","")),"")</f>
        <v/>
      </c>
      <c r="AQ31" s="20">
        <f>IFERROR(SUBSTITUTE(SUBSTITUTE(SUBSTITUTE(_xlfn.TEXTAFTER(AN31,",",2),AR31,""),",",""),AS31,""),"")</f>
        <v/>
      </c>
      <c r="AR31" s="20">
        <f>IFERROR(SUBSTITUTE(SUBSTITUTE(_xlfn.TEXTAFTER(AN31,",",3),AS31,""),",",""),"")</f>
        <v/>
      </c>
      <c r="AS31" s="20">
        <f>IFERROR(_xlfn.TEXTAFTER(AN31,",",4),"")</f>
        <v/>
      </c>
      <c r="AV31" s="11" t="n">
        <v>5</v>
      </c>
      <c r="AW31" s="9" t="inlineStr">
        <is>
          <t>Slap House</t>
        </is>
      </c>
      <c r="AX31" s="12" t="inlineStr">
        <is>
          <t>teamed up with Second, Third, Forth, and Fifth to deliver this energetic tune called ''''! Song would perfectly fit in any dance mood playlist! Label will invest up to 5000 EUR advertising on facebook and instagram ads aswell as promoting it over label and label partners playlists, radio stations and press.</t>
        </is>
      </c>
      <c r="AY31">
        <f>+_xlfn.TEXTBEFORE(text_list[[#This Row],[Text]],"''''!",,0)</f>
        <v/>
      </c>
      <c r="AZ31">
        <f>+_xlfn.TEXTBEFORE(_xlfn.TEXTAFTER(text_list[[#This Row],[Text]],"'''!"),"Label")</f>
        <v/>
      </c>
      <c r="BA31">
        <f>+_xlfn.TEXTAFTER(text_list[[#This Row],[Text]],text_list[[#This Row],[Type based on genre]])</f>
        <v/>
      </c>
      <c r="BB31" t="inlineStr">
        <is>
          <t xml:space="preserve"> </t>
        </is>
      </c>
      <c r="BE31" t="inlineStr">
        <is>
          <t>**Japan**</t>
        </is>
      </c>
      <c r="BF31" t="inlineStr">
        <is>
          <t>Deep House</t>
        </is>
      </c>
      <c r="BG31">
        <f>+RAND()</f>
        <v/>
      </c>
      <c r="BJ31" t="inlineStr">
        <is>
          <t>**Japan**</t>
        </is>
      </c>
      <c r="BK31" t="inlineStr">
        <is>
          <t>Tech House</t>
        </is>
      </c>
      <c r="BL31">
        <f>+RAND()</f>
        <v/>
      </c>
      <c r="BN31" t="inlineStr">
        <is>
          <t>**Japan**</t>
        </is>
      </c>
      <c r="BO31" t="inlineStr">
        <is>
          <t>Piano House</t>
        </is>
      </c>
      <c r="BP31">
        <f>+RAND()</f>
        <v/>
      </c>
      <c r="BR31" t="inlineStr">
        <is>
          <t>**Japan**</t>
        </is>
      </c>
      <c r="BS31" t="inlineStr">
        <is>
          <t>Indie/Chill Dance</t>
        </is>
      </c>
      <c r="BT31">
        <f>+RAND()</f>
        <v/>
      </c>
      <c r="BV31" t="inlineStr">
        <is>
          <t>**Japan**</t>
        </is>
      </c>
      <c r="BW31" t="inlineStr">
        <is>
          <t>EDM</t>
        </is>
      </c>
      <c r="BX31">
        <f>+RAND()</f>
        <v/>
      </c>
    </row>
    <row r="32">
      <c r="A32" t="inlineStr">
        <is>
          <t>Jerry Of Everything, Arnold Stone</t>
        </is>
      </c>
      <c r="B32" t="inlineStr">
        <is>
          <t>People Like Us</t>
        </is>
      </c>
      <c r="C32" t="inlineStr">
        <is>
          <t>Latvia</t>
        </is>
      </c>
      <c r="D32" t="inlineStr">
        <is>
          <t>February 24th, 2023</t>
        </is>
      </c>
      <c r="E32" t="inlineStr">
        <is>
          <t>24.02.2023</t>
        </is>
      </c>
      <c r="F32" s="3" t="n">
        <v>5063248384276</v>
      </c>
      <c r="G32" t="inlineStr">
        <is>
          <t>GX89G2393214</t>
        </is>
      </c>
      <c r="H32" t="inlineStr">
        <is>
          <t>Lo-Fi</t>
        </is>
      </c>
      <c r="I32" t="inlineStr">
        <is>
          <t>2</t>
        </is>
      </c>
      <c r="J32" t="inlineStr">
        <is>
          <t>42</t>
        </is>
      </c>
      <c r="K32" t="inlineStr">
        <is>
          <t>https://soundcloud.com/floatingbluerecords/jerry-of-everything-arnold-stone-people-like-us/s-gp0FUVnF0zM?si=57d5699309ee47bea6de9e70173ff83e&amp;utm_source=clipboard&amp;utm_medium=text&amp;utm_campaign=social_sharing</t>
        </is>
      </c>
      <c r="L32" t="inlineStr">
        <is>
          <t>Floating Blue Records</t>
        </is>
      </c>
      <c r="M32" t="n">
        <v>2</v>
      </c>
      <c r="N32" t="inlineStr">
        <is>
          <t>Radio</t>
        </is>
      </c>
      <c r="O32">
        <f>IF(N32="Remix","Citas:Remix",IF(N32="Cover","Citas:Cover",IF(N32="Radio","Single",IF(N32="Radio/Extended","Single",""))))</f>
        <v/>
      </c>
      <c r="P32">
        <f>IF(M32=1,"High_Priority",IF(M32=2,"Priority",IF(M32=3,"General_Release",IF(M32=4,"General_Release",IF(M32="","")))))</f>
        <v/>
      </c>
      <c r="Q32">
        <f>IF(N32="Remix","Citas:Remix",IF(N32="Cover","Citas:Cover",IF(N32="Radio","Single",IF(N32="Radio/Extended","Single",""))))</f>
        <v/>
      </c>
      <c r="R32">
        <f t="array" ref="R32">IF(SUM(COUNTIF(H32,{"*Deep*";"*Bass*";"*Slap*"})),"Citas:Deep House",IF(SUM(COUNTIF(H32,{"*Lo-Fi*"})),"Citas:Lo-Fi",IF(SUM(COUNTIF(H32,{"*Tech*"})),"Citas:Tech House",IF(SUM(COUNTIF(H32,{"*Indie/Chill Dance*"})),"Citas:Indie/Chill Dance",IF(SUM(COUNTIF(H32,{"*Piano*"})),"Citas:Piano House",IF(SUM(COUNTIF(H32,{"*EDM*"})),"edm dance",IF(H32="","","")))))))</f>
        <v/>
      </c>
      <c r="S32">
        <f t="array" ref="S32">IF(SUM(COUNTIF(H32,{"*Deep*";"*Bass*";"*Slap*"})),"energetic",IF(SUM(COUNTIF(H32,{"*Lo-Fi*"})),"calm",IF(SUM(COUNTIF(H32,{"*Tech*"})),"energetic",IF(SUM(COUNTIF(H32,{"*Indie/Chill Dance*"})),"chillout",IF(SUM(COUNTIF(H32,{"*Piano*"})),"energetic",IF(SUM(COUNTIF(H32,{"*EDM*"})),"energetic",IF(H32="","","")))))))</f>
        <v/>
      </c>
      <c r="T32">
        <f t="array" ref="T32">IF(SUM(COUNTIF(H32,{"*Tech*";"*EDM*";"*Indie*";"*Deep*";"*Piano*";"*Slap*";"*Brazilian Bass*"})),"Song would perfectly fit in any dance mood playlist! Label will invest up to 5000 EUR advertising on facebook and instagram ads aswell as promoting it over label and label partners playlists, radio stations and press.",IF(SUM(COUNTIF(H32,{"*Lo-Fi*"})),"Song would perfectly fit in any Lo-Fi mood playlist! Label will invest up to 5000 EUR advertising on facebook and instagram ads aswell as promoting it over label and label partners playlists, radio stations and press.",IF(H32="","","")))</f>
        <v/>
      </c>
      <c r="U32">
        <f>IF(N32="Cover","SGL",IF(N32="Radio","SGL",IF(N32="Remix","RMX",IF(N32="","","SGL"))))</f>
        <v/>
      </c>
      <c r="V32">
        <f>IF(L32="Floating Blue Records","Instrumental only",IF(L32="Day Dose Of House","Electronic, Dance, Deep House",""))</f>
        <v/>
      </c>
      <c r="Z32">
        <f t="array" ref="Z32">IF(SUM(COUNTIF(H32,{"*Deep*";"*Bass*";"*Slap*"})),"Energetic,Happy",IF(SUM(COUNTIF(H32,{"*Lo-Fi*"})),"Romantic,Chill",IF(SUM(COUNTIF(H32,{"*Tech*"})),"Energetic,Happy",IF(SUM(COUNTIF(H32,{"*Indie/Chill Dance*"})),"Energetic,Chill",IF(SUM(COUNTIF(H32,{"*Piano*"})),"Energetic,Happy",IF(SUM(COUNTIF(H32,{"*EDM*"})),"Energetic,Happy",IF(H32="","","")))))))</f>
        <v/>
      </c>
      <c r="AB32">
        <f t="array" ref="AB32">IF(SUM(COUNTIF(H32,{"*Deep*";"*Bass*";"*Slap*"})),"Samples,Synthesizer,Bass Guitar,Piano,Drum Kit,Electric Guitar",IF(SUM(COUNTIF(H32,{"*Lo-Fi*"})),"Samples,Synthesizer,Bass Guitar,Piano,Drum Kit,Electric Guitar",IF(SUM(COUNTIF(H32,{"*Tech*"})),"Samples,Synthesizer,Bass Guitar,Piano,Drum Kit,Electric Guitar",IF(SUM(COUNTIF(H32,{"*Indie/Chill Dance*"})),"Samples,Synthesizer,Bass Guitar,Piano,Drum Kit,Electric Guitar",IF(SUM(COUNTIF(H32,{"*Piano*"})),"Samples,Synthesizer,Bass Guitar,Piano,Drum Kit,Electric Guitar",IF(SUM(COUNTIF(H32,{"*EDM*"})),"Samples,Synthesizer,Bass Guitar,Piano,Drum Kit,Electric Guitar",IF(H32="","","")))))))</f>
        <v/>
      </c>
      <c r="AE32">
        <f>IF(ISTEXT(A32),"**English**","")</f>
        <v/>
      </c>
      <c r="AF32">
        <f t="array" aca="1" ref="AF32" ca="1">+TRIM(SUBSTITUTE(SUBSTITUTE(SUBSTITUTE(SUBSTITUTE(IFERROR(AO32&amp;" "&amp;+_xlfn.XLOOKUP(((SUM(LEN(AN32))-SUM(LEN(SUBSTITUTE(AN32,",",""))))/LEN(",")+1)&amp;H32,AV:AV&amp;AW:AW,AY:AY)&amp;CHAR(34)&amp;B32&amp;CHAR(34)&amp;"!"&amp;_xlfn.XLOOKUP(H32,text_list[Genre],text_list[Type based on genre]&amp;text_list[Label]),""),"Second",AP32),"Third",AQ32),"Forth",AR32),"Fifth",AS32&amp;" "))</f>
        <v/>
      </c>
      <c r="AH32">
        <f>IF(N37="Remix","Remix",IF(N37="Cover","Cover",IF(N37="Radio","Single",IF(N37="Radio/Extended","Original",""))))</f>
        <v/>
      </c>
      <c r="AI32">
        <f t="array" ref="AI32">IF(SUM(COUNTIF(H32,{"*Deep*";"*Bass*";"*Slap*"})),"**Tiësto**Imanbek**",IF(SUM(COUNTIF(H32,{"*Lo-Fi*"})),"**L.Dre**Yasumu**",IF(SUM(COUNTIF(H32,{"*Tech*"})),"**Mau P**Gorgon City**",IF(SUM(COUNTIF(H32,{"*Indie/Chill Dance*"})),"**Felix Jaehn**Lost Frequencies**",IF(SUM(COUNTIF(H32,{"*Piano*"})),"**Avicii**Eric Prydz**",IF(SUM(COUNTIF(H32,{"*EDM*"})),"**David Guetta**Swedish House Mafia**",IF(H32="","","")))))))</f>
        <v/>
      </c>
      <c r="AN32" s="20">
        <f>TRIM(SUBSTITUTE(SUBSTITUTE(SUBSTITUTE(A37,"&amp;",","),"feat",","),".",""))</f>
        <v/>
      </c>
      <c r="AO32" s="20">
        <f>IFERROR(_xlfn.TEXTBEFORE(AN32,","),AN32)</f>
        <v/>
      </c>
      <c r="AP32" s="20">
        <f>IFERROR(TRIM(SUBSTITUTE(SUBSTITUTE(SUBSTITUTE(SUBSTITUTE(_xlfn.TEXTAFTER(AN32,",",1),AQ32,""),AR32,""),AS32,""),",","")),"")</f>
        <v/>
      </c>
      <c r="AQ32" s="20">
        <f>IFERROR(SUBSTITUTE(SUBSTITUTE(SUBSTITUTE(_xlfn.TEXTAFTER(AN32,",",2),AR32,""),",",""),AS32,""),"")</f>
        <v/>
      </c>
      <c r="AR32" s="20">
        <f>IFERROR(SUBSTITUTE(SUBSTITUTE(_xlfn.TEXTAFTER(AN32,",",3),AS32,""),",",""),"")</f>
        <v/>
      </c>
      <c r="AS32" s="20">
        <f>IFERROR(_xlfn.TEXTAFTER(AN32,",",4),"")</f>
        <v/>
      </c>
      <c r="AV32" s="11" t="n">
        <v>1</v>
      </c>
      <c r="AW32" s="9" t="inlineStr">
        <is>
          <t>Brazilian Bass</t>
        </is>
      </c>
      <c r="AX32"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32">
        <f>+_xlfn.TEXTBEFORE(text_list[[#This Row],[Text]],"''''!",,0)</f>
        <v/>
      </c>
      <c r="AZ32">
        <f>+_xlfn.TEXTBEFORE(_xlfn.TEXTAFTER(text_list[[#This Row],[Text]],"'''!"),"Label")</f>
        <v/>
      </c>
      <c r="BA32">
        <f>+_xlfn.TEXTAFTER(text_list[[#This Row],[Text]],text_list[[#This Row],[Type based on genre]])</f>
        <v/>
      </c>
      <c r="BB32" t="inlineStr">
        <is>
          <t xml:space="preserve"> </t>
        </is>
      </c>
    </row>
    <row r="33">
      <c r="A33" t="inlineStr">
        <is>
          <t>Jerry Of Everything, Arnold Stone</t>
        </is>
      </c>
      <c r="B33" t="inlineStr">
        <is>
          <t>People Like Us</t>
        </is>
      </c>
      <c r="C33" t="inlineStr">
        <is>
          <t>Latvia</t>
        </is>
      </c>
      <c r="D33" t="inlineStr">
        <is>
          <t>February 24th, 2023</t>
        </is>
      </c>
      <c r="E33" t="inlineStr">
        <is>
          <t>24.02.2023</t>
        </is>
      </c>
      <c r="F33" s="3" t="n">
        <v>5063248384276</v>
      </c>
      <c r="G33" t="inlineStr">
        <is>
          <t>GX89G2393214</t>
        </is>
      </c>
      <c r="H33" t="inlineStr">
        <is>
          <t>Lo-Fi</t>
        </is>
      </c>
      <c r="I33" t="inlineStr">
        <is>
          <t>2</t>
        </is>
      </c>
      <c r="J33" t="inlineStr">
        <is>
          <t>42</t>
        </is>
      </c>
      <c r="K33" t="inlineStr">
        <is>
          <t>https://soundcloud.com/floatingbluerecords/jerry-of-everything-arnold-stone-people-like-us/s-gp0FUVnF0zM?si=57d5699309ee47bea6de9e70173ff83e&amp;utm_source=clipboard&amp;utm_medium=text&amp;utm_campaign=social_sharinghttps://soundcloud.com/floatingbluerecords/jerry-of-everything-arnold-stone-people-like-us/s-gp0FUVnF0zM?si=57d5699309ee47bea6de9e70173ff83e&amp;utm_source=clipboard&amp;utm_medium=text&amp;utm_campaign=social_sharing</t>
        </is>
      </c>
      <c r="L33" t="inlineStr">
        <is>
          <t>Floating Blue Records</t>
        </is>
      </c>
      <c r="M33" t="n">
        <v>2</v>
      </c>
      <c r="N33" t="inlineStr">
        <is>
          <t>Radio</t>
        </is>
      </c>
      <c r="O33">
        <f>IF(N33="Remix","Citas:Remix",IF(N33="Cover","Citas:Cover",IF(N33="Radio","Single",IF(N33="Radio/Extended","Single",""))))</f>
        <v/>
      </c>
      <c r="P33">
        <f>IF(M33=1,"High_Priority",IF(M33=2,"Priority",IF(M33=3,"General_Release",IF(M33=4,"General_Release",IF(M33="","")))))</f>
        <v/>
      </c>
      <c r="Q33">
        <f>IF(N33="Remix","Citas:Remix",IF(N33="Cover","Citas:Cover",IF(N33="Radio","Single",IF(N33="Radio/Extended","Single",""))))</f>
        <v/>
      </c>
      <c r="R33">
        <f t="array" ref="R33">IF(SUM(COUNTIF(H33,{"*Deep*";"*Bass*";"*Slap*"})),"Citas:Deep House",IF(SUM(COUNTIF(H33,{"*Lo-Fi*"})),"Citas:Lo-Fi",IF(SUM(COUNTIF(H33,{"*Tech*"})),"Citas:Tech House",IF(SUM(COUNTIF(H33,{"*Indie/Chill Dance*"})),"Citas:Indie/Chill Dance",IF(SUM(COUNTIF(H33,{"*Piano*"})),"Citas:Piano House",IF(SUM(COUNTIF(H33,{"*EDM*"})),"edm dance",IF(H33="","","")))))))</f>
        <v/>
      </c>
      <c r="S33">
        <f t="array" ref="S33">IF(SUM(COUNTIF(H33,{"*Deep*";"*Bass*";"*Slap*"})),"energetic",IF(SUM(COUNTIF(H33,{"*Lo-Fi*"})),"calm",IF(SUM(COUNTIF(H33,{"*Tech*"})),"energetic",IF(SUM(COUNTIF(H33,{"*Indie/Chill Dance*"})),"chillout",IF(SUM(COUNTIF(H33,{"*Piano*"})),"energetic",IF(SUM(COUNTIF(H33,{"*EDM*"})),"energetic",IF(H33="","","")))))))</f>
        <v/>
      </c>
      <c r="T33">
        <f t="array" ref="T33">IF(SUM(COUNTIF(H33,{"*Tech*";"*EDM*";"*Indie*";"*Deep*";"*Piano*";"*Slap*";"*Brazilian Bass*"})),"Song would perfectly fit in any dance mood playlist! Label will invest up to 5000 EUR advertising on facebook and instagram ads aswell as promoting it over label and label partners playlists, radio stations and press.",IF(SUM(COUNTIF(H33,{"*Lo-Fi*"})),"Song would perfectly fit in any Lo-Fi mood playlist! Label will invest up to 5000 EUR advertising on facebook and instagram ads aswell as promoting it over label and label partners playlists, radio stations and press.",IF(H33="","","")))</f>
        <v/>
      </c>
      <c r="U33">
        <f>IF(N33="Cover","SGL",IF(N33="Radio","SGL",IF(N33="Remix","RMX",IF(N33="","","SGL"))))</f>
        <v/>
      </c>
      <c r="V33">
        <f>IF(L33="Floating Blue Records","Instrumental only",IF(L33="Day Dose Of House","Electronic, Dance, Deep House",""))</f>
        <v/>
      </c>
      <c r="Z33">
        <f t="array" ref="Z33">IF(SUM(COUNTIF(H33,{"*Deep*";"*Bass*";"*Slap*"})),"Energetic,Happy",IF(SUM(COUNTIF(H33,{"*Lo-Fi*"})),"Romantic,Chill",IF(SUM(COUNTIF(H33,{"*Tech*"})),"Energetic,Happy",IF(SUM(COUNTIF(H33,{"*Indie/Chill Dance*"})),"Energetic,Chill",IF(SUM(COUNTIF(H33,{"*Piano*"})),"Energetic,Happy",IF(SUM(COUNTIF(H33,{"*EDM*"})),"Energetic,Happy",IF(H33="","","")))))))</f>
        <v/>
      </c>
      <c r="AB33">
        <f t="array" ref="AB33">IF(SUM(COUNTIF(H33,{"*Deep*";"*Bass*";"*Slap*"})),"Samples,Synthesizer,Bass Guitar,Piano,Drum Kit,Electric Guitar",IF(SUM(COUNTIF(H33,{"*Lo-Fi*"})),"Samples,Synthesizer,Bass Guitar,Piano,Drum Kit,Electric Guitar",IF(SUM(COUNTIF(H33,{"*Tech*"})),"Samples,Synthesizer,Bass Guitar,Piano,Drum Kit,Electric Guitar",IF(SUM(COUNTIF(H33,{"*Indie/Chill Dance*"})),"Samples,Synthesizer,Bass Guitar,Piano,Drum Kit,Electric Guitar",IF(SUM(COUNTIF(H33,{"*Piano*"})),"Samples,Synthesizer,Bass Guitar,Piano,Drum Kit,Electric Guitar",IF(SUM(COUNTIF(H33,{"*EDM*"})),"Samples,Synthesizer,Bass Guitar,Piano,Drum Kit,Electric Guitar",IF(H33="","","")))))))</f>
        <v/>
      </c>
      <c r="AE33">
        <f>IF(ISTEXT(A33),"**English**","")</f>
        <v/>
      </c>
      <c r="AF33">
        <f t="array" aca="1" ref="AF33" ca="1">+TRIM(SUBSTITUTE(SUBSTITUTE(SUBSTITUTE(SUBSTITUTE(IFERROR(AO33&amp;" "&amp;+_xlfn.XLOOKUP(((SUM(LEN(AN33))-SUM(LEN(SUBSTITUTE(AN33,",",""))))/LEN(",")+1)&amp;H33,AV:AV&amp;AW:AW,AY:AY)&amp;CHAR(34)&amp;B33&amp;CHAR(34)&amp;"!"&amp;_xlfn.XLOOKUP(H33,text_list[Genre],text_list[Type based on genre]&amp;text_list[Label]),""),"Second",AP33),"Third",AQ33),"Forth",AR33),"Fifth",AS33&amp;" "))</f>
        <v/>
      </c>
      <c r="AH33">
        <f>IF(N38="Remix","Remix",IF(N38="Cover","Cover",IF(N38="Radio","Single",IF(N38="Radio/Extended","Original",""))))</f>
        <v/>
      </c>
      <c r="AI33">
        <f t="array" ref="AI33">IF(SUM(COUNTIF(H33,{"*Deep*";"*Bass*";"*Slap*"})),"**Tiësto**Imanbek**",IF(SUM(COUNTIF(H33,{"*Lo-Fi*"})),"**L.Dre**Yasumu**",IF(SUM(COUNTIF(H33,{"*Tech*"})),"**Mau P**Gorgon City**",IF(SUM(COUNTIF(H33,{"*Indie/Chill Dance*"})),"**Felix Jaehn**Lost Frequencies**",IF(SUM(COUNTIF(H33,{"*Piano*"})),"**Avicii**Eric Prydz**",IF(SUM(COUNTIF(H33,{"*EDM*"})),"**David Guetta**Swedish House Mafia**",IF(H33="","","")))))))</f>
        <v/>
      </c>
      <c r="AN33" s="20">
        <f>TRIM(SUBSTITUTE(SUBSTITUTE(SUBSTITUTE(A38,"&amp;",","),"feat",","),".",""))</f>
        <v/>
      </c>
      <c r="AO33" s="20">
        <f>IFERROR(_xlfn.TEXTBEFORE(AN33,","),AN33)</f>
        <v/>
      </c>
      <c r="AP33" s="20">
        <f>IFERROR(TRIM(SUBSTITUTE(SUBSTITUTE(SUBSTITUTE(SUBSTITUTE(_xlfn.TEXTAFTER(AN33,",",1),AQ33,""),AR33,""),AS33,""),",","")),"")</f>
        <v/>
      </c>
      <c r="AQ33" s="20">
        <f>IFERROR(SUBSTITUTE(SUBSTITUTE(SUBSTITUTE(_xlfn.TEXTAFTER(AN33,",",2),AR33,""),",",""),AS33,""),"")</f>
        <v/>
      </c>
      <c r="AR33" s="20">
        <f>IFERROR(SUBSTITUTE(SUBSTITUTE(_xlfn.TEXTAFTER(AN33,",",3),AS33,""),",",""),"")</f>
        <v/>
      </c>
      <c r="AS33" s="20">
        <f>IFERROR(_xlfn.TEXTAFTER(AN33,",",4),"")</f>
        <v/>
      </c>
      <c r="AV33" s="11" t="n">
        <v>2</v>
      </c>
      <c r="AW33" s="9" t="inlineStr">
        <is>
          <t>Brazilian Bass</t>
        </is>
      </c>
      <c r="AX33"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33">
        <f>+_xlfn.TEXTBEFORE(text_list[[#This Row],[Text]],"''''!",,0)</f>
        <v/>
      </c>
      <c r="AZ33">
        <f>+_xlfn.TEXTBEFORE(_xlfn.TEXTAFTER(text_list[[#This Row],[Text]],"'''!"),"Label")</f>
        <v/>
      </c>
      <c r="BA33">
        <f>+_xlfn.TEXTAFTER(text_list[[#This Row],[Text]],text_list[[#This Row],[Type based on genre]])</f>
        <v/>
      </c>
      <c r="BB33" t="inlineStr">
        <is>
          <t xml:space="preserve"> </t>
        </is>
      </c>
    </row>
    <row r="34">
      <c r="A34" t="inlineStr">
        <is>
          <t>Jerry Of Everything, Arnold Stone</t>
        </is>
      </c>
      <c r="B34" t="inlineStr">
        <is>
          <t>People Like Us</t>
        </is>
      </c>
      <c r="C34" t="inlineStr">
        <is>
          <t>Latvia</t>
        </is>
      </c>
      <c r="D34" t="inlineStr">
        <is>
          <t>February 24th, 2023</t>
        </is>
      </c>
      <c r="E34" t="inlineStr">
        <is>
          <t>24.02.2023</t>
        </is>
      </c>
      <c r="F34" s="3" t="n">
        <v>5063248384276</v>
      </c>
      <c r="G34" t="inlineStr">
        <is>
          <t>GX89G2393214</t>
        </is>
      </c>
      <c r="H34" t="inlineStr">
        <is>
          <t>Lo-Fi</t>
        </is>
      </c>
      <c r="I34" t="inlineStr">
        <is>
          <t>2</t>
        </is>
      </c>
      <c r="J34" t="inlineStr">
        <is>
          <t>42</t>
        </is>
      </c>
      <c r="K34" t="inlineStr">
        <is>
          <t>https://soundcloud.com/floatingbluerecords/jerry-of-everything-arnold-stone-people-like-us/s-gp0FUVnF0zM?si=57d5699309ee47bea6de9e70173ff83e&amp;utm_source=clipboard&amp;utm_medium=text&amp;utm_campaign=social_sharing</t>
        </is>
      </c>
      <c r="L34" t="inlineStr">
        <is>
          <t>Floating Blue Records</t>
        </is>
      </c>
      <c r="M34" t="n">
        <v>2</v>
      </c>
      <c r="N34" t="inlineStr">
        <is>
          <t>Radio</t>
        </is>
      </c>
      <c r="O34">
        <f>IF(N34="Remix","Citas:Remix",IF(N34="Cover","Citas:Cover",IF(N34="Radio","Single",IF(N34="Radio/Extended","Single",""))))</f>
        <v/>
      </c>
      <c r="P34">
        <f>IF(M34=1,"High_Priority",IF(M34=2,"Priority",IF(M34=3,"General_Release",IF(M34=4,"General_Release",IF(M34="","")))))</f>
        <v/>
      </c>
      <c r="Q34">
        <f>IF(N34="Remix","Citas:Remix",IF(N34="Cover","Citas:Cover",IF(N34="Radio","Single",IF(N34="Radio/Extended","Single",""))))</f>
        <v/>
      </c>
      <c r="R34">
        <f t="array" ref="R34">IF(SUM(COUNTIF(H34,{"*Deep*";"*Bass*";"*Slap*"})),"Citas:Deep House",IF(SUM(COUNTIF(H34,{"*Lo-Fi*"})),"Citas:Lo-Fi",IF(SUM(COUNTIF(H34,{"*Tech*"})),"Citas:Tech House",IF(SUM(COUNTIF(H34,{"*Indie/Chill Dance*"})),"Citas:Indie/Chill Dance",IF(SUM(COUNTIF(H34,{"*Piano*"})),"Citas:Piano House",IF(SUM(COUNTIF(H34,{"*EDM*"})),"edm dance",IF(H34="","","")))))))</f>
        <v/>
      </c>
      <c r="S34">
        <f t="array" ref="S34">IF(SUM(COUNTIF(H34,{"*Deep*";"*Bass*";"*Slap*"})),"energetic",IF(SUM(COUNTIF(H34,{"*Lo-Fi*"})),"calm",IF(SUM(COUNTIF(H34,{"*Tech*"})),"energetic",IF(SUM(COUNTIF(H34,{"*Indie/Chill Dance*"})),"chillout",IF(SUM(COUNTIF(H34,{"*Piano*"})),"energetic",IF(SUM(COUNTIF(H34,{"*EDM*"})),"energetic",IF(H34="","","")))))))</f>
        <v/>
      </c>
      <c r="T34">
        <f t="array" ref="T34">IF(SUM(COUNTIF(H34,{"*Tech*";"*EDM*";"*Indie*";"*Deep*";"*Piano*";"*Slap*";"*Brazilian Bass*"})),"Song would perfectly fit in any dance mood playlist! Label will invest up to 5000 EUR advertising on facebook and instagram ads aswell as promoting it over label and label partners playlists, radio stations and press.",IF(SUM(COUNTIF(H34,{"*Lo-Fi*"})),"Song would perfectly fit in any Lo-Fi mood playlist! Label will invest up to 5000 EUR advertising on facebook and instagram ads aswell as promoting it over label and label partners playlists, radio stations and press.",IF(H34="","","")))</f>
        <v/>
      </c>
      <c r="U34">
        <f>IF(N34="Cover","SGL",IF(N34="Radio","SGL",IF(N34="Remix","RMX",IF(N34="","","SGL"))))</f>
        <v/>
      </c>
      <c r="V34">
        <f>IF(L34="Floating Blue Records","Instrumental only",IF(L34="Day Dose Of House","Electronic, Dance, Deep House",""))</f>
        <v/>
      </c>
      <c r="Z34">
        <f t="array" ref="Z34">IF(SUM(COUNTIF(H34,{"*Deep*";"*Bass*";"*Slap*"})),"Energetic,Happy",IF(SUM(COUNTIF(H34,{"*Lo-Fi*"})),"Romantic,Chill",IF(SUM(COUNTIF(H34,{"*Tech*"})),"Energetic,Happy",IF(SUM(COUNTIF(H34,{"*Indie/Chill Dance*"})),"Energetic,Chill",IF(SUM(COUNTIF(H34,{"*Piano*"})),"Energetic,Happy",IF(SUM(COUNTIF(H34,{"*EDM*"})),"Energetic,Happy",IF(H34="","","")))))))</f>
        <v/>
      </c>
      <c r="AB34">
        <f t="array" ref="AB34">IF(SUM(COUNTIF(H34,{"*Deep*";"*Bass*";"*Slap*"})),"Samples,Synthesizer,Bass Guitar,Piano,Drum Kit,Electric Guitar",IF(SUM(COUNTIF(H34,{"*Lo-Fi*"})),"Samples,Synthesizer,Bass Guitar,Piano,Drum Kit,Electric Guitar",IF(SUM(COUNTIF(H34,{"*Tech*"})),"Samples,Synthesizer,Bass Guitar,Piano,Drum Kit,Electric Guitar",IF(SUM(COUNTIF(H34,{"*Indie/Chill Dance*"})),"Samples,Synthesizer,Bass Guitar,Piano,Drum Kit,Electric Guitar",IF(SUM(COUNTIF(H34,{"*Piano*"})),"Samples,Synthesizer,Bass Guitar,Piano,Drum Kit,Electric Guitar",IF(SUM(COUNTIF(H34,{"*EDM*"})),"Samples,Synthesizer,Bass Guitar,Piano,Drum Kit,Electric Guitar",IF(H34="","","")))))))</f>
        <v/>
      </c>
      <c r="AF34">
        <f t="array" aca="1" ref="AF34" ca="1">+TRIM(SUBSTITUTE(SUBSTITUTE(SUBSTITUTE(SUBSTITUTE(IFERROR(AO34&amp;" "&amp;+_xlfn.XLOOKUP(((SUM(LEN(AN34))-SUM(LEN(SUBSTITUTE(AN34,",",""))))/LEN(",")+1)&amp;H34,AV:AV&amp;AW:AW,AY:AY)&amp;CHAR(34)&amp;B34&amp;CHAR(34)&amp;"!"&amp;_xlfn.XLOOKUP(H34,text_list[Genre],text_list[Type based on genre]&amp;text_list[Label]),""),"Second",AP34),"Third",AQ34),"Forth",AR34),"Fifth",AS34&amp;" "))</f>
        <v/>
      </c>
      <c r="AH34">
        <f>IF(N39="Remix","Remix",IF(N39="Cover","Cover",IF(N39="Radio","Single",IF(N39="Radio/Extended","Original",""))))</f>
        <v/>
      </c>
      <c r="AI34">
        <f t="array" ref="AI34">IF(SUM(COUNTIF(H34,{"*Deep*";"*Bass*";"*Slap*"})),"**Tiësto**Imanbek**",IF(SUM(COUNTIF(H34,{"*Lo-Fi*"})),"**L.Dre**Yasumu**",IF(SUM(COUNTIF(H34,{"*Tech*"})),"**Mau P**Gorgon City**",IF(SUM(COUNTIF(H34,{"*Indie/Chill Dance*"})),"**Felix Jaehn**Lost Frequencies**",IF(SUM(COUNTIF(H34,{"*Piano*"})),"**Avicii**Eric Prydz**",IF(SUM(COUNTIF(H34,{"*EDM*"})),"**David Guetta**Swedish House Mafia**",IF(H34="","","")))))))</f>
        <v/>
      </c>
      <c r="AN34" s="20">
        <f>TRIM(SUBSTITUTE(SUBSTITUTE(SUBSTITUTE(A39,"&amp;",","),"feat",","),".",""))</f>
        <v/>
      </c>
      <c r="AO34" s="20">
        <f>IFERROR(_xlfn.TEXTBEFORE(AN34,","),AN34)</f>
        <v/>
      </c>
      <c r="AP34" s="20">
        <f>IFERROR(TRIM(SUBSTITUTE(SUBSTITUTE(SUBSTITUTE(SUBSTITUTE(_xlfn.TEXTAFTER(AN34,",",1),AQ34,""),AR34,""),AS34,""),",","")),"")</f>
        <v/>
      </c>
      <c r="AQ34" s="20">
        <f>IFERROR(SUBSTITUTE(SUBSTITUTE(SUBSTITUTE(_xlfn.TEXTAFTER(AN34,",",2),AR34,""),",",""),AS34,""),"")</f>
        <v/>
      </c>
      <c r="AR34" s="20">
        <f>IFERROR(SUBSTITUTE(SUBSTITUTE(_xlfn.TEXTAFTER(AN34,",",3),AS34,""),",",""),"")</f>
        <v/>
      </c>
      <c r="AS34" s="20">
        <f>IFERROR(_xlfn.TEXTAFTER(AN34,",",4),"")</f>
        <v/>
      </c>
      <c r="AV34" s="11" t="n">
        <v>3</v>
      </c>
      <c r="AW34" s="9" t="inlineStr">
        <is>
          <t>Brazilian Bass</t>
        </is>
      </c>
      <c r="AX34"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34">
        <f>+_xlfn.TEXTBEFORE(text_list[[#This Row],[Text]],"''''!",,0)</f>
        <v/>
      </c>
      <c r="AZ34">
        <f>+_xlfn.TEXTBEFORE(_xlfn.TEXTAFTER(text_list[[#This Row],[Text]],"'''!"),"Label")</f>
        <v/>
      </c>
      <c r="BA34">
        <f>+_xlfn.TEXTAFTER(text_list[[#This Row],[Text]],text_list[[#This Row],[Type based on genre]])</f>
        <v/>
      </c>
      <c r="BB34" t="inlineStr">
        <is>
          <t xml:space="preserve"> </t>
        </is>
      </c>
      <c r="BE34" t="inlineStr">
        <is>
          <t>Country</t>
        </is>
      </c>
      <c r="BF34" t="inlineStr">
        <is>
          <t>Genre</t>
        </is>
      </c>
      <c r="BG34" t="inlineStr">
        <is>
          <t>Rand</t>
        </is>
      </c>
      <c r="BJ34" t="inlineStr">
        <is>
          <t>Country</t>
        </is>
      </c>
      <c r="BK34" t="inlineStr">
        <is>
          <t>Genre</t>
        </is>
      </c>
      <c r="BL34" t="inlineStr">
        <is>
          <t>Rand</t>
        </is>
      </c>
      <c r="BO34" t="inlineStr">
        <is>
          <t>Country</t>
        </is>
      </c>
      <c r="BP34" t="inlineStr">
        <is>
          <t>Genre</t>
        </is>
      </c>
      <c r="BQ34" t="inlineStr">
        <is>
          <t>Rand</t>
        </is>
      </c>
    </row>
    <row r="35">
      <c r="A35" t="inlineStr">
        <is>
          <t>Jerry Of Everything, Arnold Stone</t>
        </is>
      </c>
      <c r="B35" t="inlineStr">
        <is>
          <t>People Like Us</t>
        </is>
      </c>
      <c r="C35" t="inlineStr">
        <is>
          <t>Latvia</t>
        </is>
      </c>
      <c r="D35" t="inlineStr">
        <is>
          <t>February 24th, 2023</t>
        </is>
      </c>
      <c r="E35" t="inlineStr">
        <is>
          <t>24.02.2023</t>
        </is>
      </c>
      <c r="F35" s="3" t="n">
        <v>5063248384276</v>
      </c>
      <c r="G35" t="inlineStr">
        <is>
          <t>GX89G2393214</t>
        </is>
      </c>
      <c r="H35" t="inlineStr">
        <is>
          <t>Lo-Fi</t>
        </is>
      </c>
      <c r="I35" t="inlineStr">
        <is>
          <t>2</t>
        </is>
      </c>
      <c r="J35" t="inlineStr">
        <is>
          <t>42</t>
        </is>
      </c>
      <c r="K35" t="inlineStr">
        <is>
          <t>https://soundcloud.com/floatingbluerecords/jerry-of-everything-arnold-stone-people-like-us/s-gp0FUVnF0zM?si=57d5699309ee47bea6de9e70173ff83e&amp;utm_source=clipboard&amp;utm_medium=text&amp;utm_campaign=social_sharing</t>
        </is>
      </c>
      <c r="L35" t="inlineStr">
        <is>
          <t>Floating Blue Records</t>
        </is>
      </c>
      <c r="M35" t="n">
        <v>2</v>
      </c>
      <c r="N35" t="inlineStr">
        <is>
          <t>Radio</t>
        </is>
      </c>
      <c r="O35">
        <f>IF(N35="Remix","Citas:Remix",IF(N35="Cover","Citas:Cover",IF(N35="Radio","Single",IF(N35="Radio/Extended","Single",""))))</f>
        <v/>
      </c>
      <c r="P35">
        <f>IF(M35=1,"High_Priority",IF(M35=2,"Priority",IF(M35=3,"General_Release",IF(M35=4,"General_Release",IF(M35="","")))))</f>
        <v/>
      </c>
      <c r="Q35">
        <f>IF(N35="Remix","Citas:Remix",IF(N35="Cover","Citas:Cover",IF(N35="Radio","Single",IF(N35="Radio/Extended","Single",""))))</f>
        <v/>
      </c>
      <c r="R35">
        <f t="array" ref="R35">IF(SUM(COUNTIF(H35,{"*Deep*";"*Bass*";"*Slap*"})),"Citas:Deep House",IF(SUM(COUNTIF(H35,{"*Lo-Fi*"})),"Citas:Lo-Fi",IF(SUM(COUNTIF(H35,{"*Tech*"})),"Citas:Tech House",IF(SUM(COUNTIF(H35,{"*Indie/Chill Dance*"})),"Citas:Indie/Chill Dance",IF(SUM(COUNTIF(H35,{"*Piano*"})),"Citas:Piano House",IF(SUM(COUNTIF(H35,{"*EDM*"})),"edm dance",IF(H35="","","")))))))</f>
        <v/>
      </c>
      <c r="S35">
        <f t="array" ref="S35">IF(SUM(COUNTIF(H35,{"*Deep*";"*Bass*";"*Slap*"})),"energetic",IF(SUM(COUNTIF(H35,{"*Lo-Fi*"})),"calm",IF(SUM(COUNTIF(H35,{"*Tech*"})),"energetic",IF(SUM(COUNTIF(H35,{"*Indie/Chill Dance*"})),"chillout",IF(SUM(COUNTIF(H35,{"*Piano*"})),"energetic",IF(SUM(COUNTIF(H35,{"*EDM*"})),"energetic",IF(H35="","","")))))))</f>
        <v/>
      </c>
      <c r="T35">
        <f t="array" ref="T35">IF(SUM(COUNTIF(H35,{"*Tech*";"*EDM*";"*Indie*";"*Deep*";"*Piano*";"*Slap*";"*Brazilian Bass*"})),"Song would perfectly fit in any dance mood playlist! Label will invest up to 5000 EUR advertising on facebook and instagram ads aswell as promoting it over label and label partners playlists, radio stations and press.",IF(SUM(COUNTIF(H35,{"*Lo-Fi*"})),"Song would perfectly fit in any Lo-Fi mood playlist! Label will invest up to 5000 EUR advertising on facebook and instagram ads aswell as promoting it over label and label partners playlists, radio stations and press.",IF(H35="","","")))</f>
        <v/>
      </c>
      <c r="U35">
        <f>IF(N35="Cover","SGL",IF(N35="Radio","SGL",IF(N35="Remix","RMX",IF(N35="","","SGL"))))</f>
        <v/>
      </c>
      <c r="V35">
        <f>IF(L35="Floating Blue Records","Instrumental only",IF(L35="Day Dose Of House","Electronic, Dance, Deep House",""))</f>
        <v/>
      </c>
      <c r="Z35">
        <f t="array" ref="Z35">IF(SUM(COUNTIF(H35,{"*Deep*";"*Bass*";"*Slap*"})),"Energetic,Happy",IF(SUM(COUNTIF(H35,{"*Lo-Fi*"})),"Romantic,Chill",IF(SUM(COUNTIF(H35,{"*Tech*"})),"Energetic,Happy",IF(SUM(COUNTIF(H35,{"*Indie/Chill Dance*"})),"Energetic,Chill",IF(SUM(COUNTIF(H35,{"*Piano*"})),"Energetic,Happy",IF(SUM(COUNTIF(H35,{"*EDM*"})),"Energetic,Happy",IF(H35="","","")))))))</f>
        <v/>
      </c>
      <c r="AB35">
        <f t="array" ref="AB35">IF(SUM(COUNTIF(H35,{"*Deep*";"*Bass*";"*Slap*"})),"Samples,Synthesizer,Bass Guitar,Piano,Drum Kit,Electric Guitar",IF(SUM(COUNTIF(H35,{"*Lo-Fi*"})),"Samples,Synthesizer,Bass Guitar,Piano,Drum Kit,Electric Guitar",IF(SUM(COUNTIF(H35,{"*Tech*"})),"Samples,Synthesizer,Bass Guitar,Piano,Drum Kit,Electric Guitar",IF(SUM(COUNTIF(H35,{"*Indie/Chill Dance*"})),"Samples,Synthesizer,Bass Guitar,Piano,Drum Kit,Electric Guitar",IF(SUM(COUNTIF(H35,{"*Piano*"})),"Samples,Synthesizer,Bass Guitar,Piano,Drum Kit,Electric Guitar",IF(SUM(COUNTIF(H35,{"*EDM*"})),"Samples,Synthesizer,Bass Guitar,Piano,Drum Kit,Electric Guitar",IF(H35="","","")))))))</f>
        <v/>
      </c>
      <c r="AF35">
        <f t="array" aca="1" ref="AF35" ca="1">+TRIM(SUBSTITUTE(SUBSTITUTE(SUBSTITUTE(SUBSTITUTE(IFERROR(AO35&amp;" "&amp;+_xlfn.XLOOKUP(((SUM(LEN(AN35))-SUM(LEN(SUBSTITUTE(AN35,",",""))))/LEN(",")+1)&amp;H35,AV:AV&amp;AW:AW,AY:AY)&amp;CHAR(34)&amp;B35&amp;CHAR(34)&amp;"!"&amp;_xlfn.XLOOKUP(H35,text_list[Genre],text_list[Type based on genre]&amp;text_list[Label]),""),"Second",AP35),"Third",AQ35),"Forth",AR35),"Fifth",AS35&amp;" "))</f>
        <v/>
      </c>
      <c r="AH35">
        <f>IF(N40="Remix","Remix",IF(N40="Cover","Cover",IF(N40="Radio","Single",IF(N40="Radio/Extended","Original",""))))</f>
        <v/>
      </c>
      <c r="AI35">
        <f t="array" ref="AI35">IF(SUM(COUNTIF(H35,{"*Deep*";"*Bass*";"*Slap*"})),"**Tiësto**Imanbek**",IF(SUM(COUNTIF(H35,{"*Lo-Fi*"})),"**L.Dre**Yasumu**",IF(SUM(COUNTIF(H35,{"*Tech*"})),"**Mau P**Gorgon City**",IF(SUM(COUNTIF(H35,{"*Indie/Chill Dance*"})),"**Felix Jaehn**Lost Frequencies**",IF(SUM(COUNTIF(H35,{"*Piano*"})),"**Avicii**Eric Prydz**",IF(SUM(COUNTIF(H35,{"*EDM*"})),"**David Guetta**Swedish House Mafia**",IF(H35="","","")))))))</f>
        <v/>
      </c>
      <c r="AN35" s="20">
        <f>TRIM(SUBSTITUTE(SUBSTITUTE(SUBSTITUTE(A40,"&amp;",","),"feat",","),".",""))</f>
        <v/>
      </c>
      <c r="AO35" s="20">
        <f>IFERROR(_xlfn.TEXTBEFORE(AN35,","),AN35)</f>
        <v/>
      </c>
      <c r="AP35" s="20">
        <f>IFERROR(TRIM(SUBSTITUTE(SUBSTITUTE(SUBSTITUTE(SUBSTITUTE(_xlfn.TEXTAFTER(AN35,",",1),AQ35,""),AR35,""),AS35,""),",","")),"")</f>
        <v/>
      </c>
      <c r="AQ35" s="20">
        <f>IFERROR(SUBSTITUTE(SUBSTITUTE(SUBSTITUTE(_xlfn.TEXTAFTER(AN35,",",2),AR35,""),",",""),AS35,""),"")</f>
        <v/>
      </c>
      <c r="AR35" s="20">
        <f>IFERROR(SUBSTITUTE(SUBSTITUTE(_xlfn.TEXTAFTER(AN35,",",3),AS35,""),",",""),"")</f>
        <v/>
      </c>
      <c r="AS35" s="20">
        <f>IFERROR(_xlfn.TEXTAFTER(AN35,",",4),"")</f>
        <v/>
      </c>
      <c r="AV35" s="11" t="n">
        <v>4</v>
      </c>
      <c r="AW35" s="9" t="inlineStr">
        <is>
          <t>Brazilian Bass</t>
        </is>
      </c>
      <c r="AX35" s="12" t="inlineStr">
        <is>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35">
        <f>+_xlfn.TEXTBEFORE(text_list[[#This Row],[Text]],"''''!",,0)</f>
        <v/>
      </c>
      <c r="AZ35">
        <f>+_xlfn.TEXTBEFORE(_xlfn.TEXTAFTER(text_list[[#This Row],[Text]],"'''!"),"Label")</f>
        <v/>
      </c>
      <c r="BA35">
        <f>+_xlfn.TEXTAFTER(text_list[[#This Row],[Text]],text_list[[#This Row],[Type based on genre]])</f>
        <v/>
      </c>
      <c r="BB35" t="inlineStr">
        <is>
          <t xml:space="preserve"> </t>
        </is>
      </c>
      <c r="BE35" t="inlineStr">
        <is>
          <t>**United Kingdom**</t>
        </is>
      </c>
      <c r="BF35" t="inlineStr">
        <is>
          <t>Brazilian Bass</t>
        </is>
      </c>
      <c r="BG35">
        <f>+RAND()</f>
        <v/>
      </c>
      <c r="BJ35" t="inlineStr">
        <is>
          <t>**United Kingdom**</t>
        </is>
      </c>
      <c r="BK35" t="inlineStr">
        <is>
          <t>Lo-Fi</t>
        </is>
      </c>
      <c r="BL35">
        <f>+RAND()</f>
        <v/>
      </c>
      <c r="BO35" t="inlineStr">
        <is>
          <t>**United Kingdom**</t>
        </is>
      </c>
      <c r="BP35" t="inlineStr">
        <is>
          <t>Slap House</t>
        </is>
      </c>
      <c r="BQ35">
        <f>+RAND()</f>
        <v/>
      </c>
    </row>
    <row r="36">
      <c r="A36" t="inlineStr">
        <is>
          <t>Jerry Of Everything, Arnold Stone</t>
        </is>
      </c>
      <c r="B36" t="inlineStr">
        <is>
          <t>People Like Us</t>
        </is>
      </c>
      <c r="C36" t="inlineStr">
        <is>
          <t>Latvia</t>
        </is>
      </c>
      <c r="D36" t="inlineStr">
        <is>
          <t>February 24th, 2023</t>
        </is>
      </c>
      <c r="E36" t="inlineStr">
        <is>
          <t>24.02.2023</t>
        </is>
      </c>
      <c r="F36" s="3" t="n">
        <v>5063248384276</v>
      </c>
      <c r="G36" t="inlineStr">
        <is>
          <t>GX89G2393214</t>
        </is>
      </c>
      <c r="H36" t="inlineStr">
        <is>
          <t>Lo-Fi</t>
        </is>
      </c>
      <c r="I36" t="inlineStr">
        <is>
          <t>2</t>
        </is>
      </c>
      <c r="J36" t="inlineStr">
        <is>
          <t>42</t>
        </is>
      </c>
      <c r="K36" t="inlineStr">
        <is>
          <t>https://soundcloud.com/floatingbluerecords/jerry-of-everything-arnold-stone-people-like-us/s-gp0FUVnF0zM?si=57d5699309ee47bea6de9e70173ff83e&amp;utm_source=clipboard&amp;utm_medium=text&amp;utm_campaign=social_sharing</t>
        </is>
      </c>
      <c r="L36" t="inlineStr">
        <is>
          <t>Floating Blue Records</t>
        </is>
      </c>
      <c r="M36" t="n">
        <v>2</v>
      </c>
      <c r="N36" t="inlineStr">
        <is>
          <t>Radio</t>
        </is>
      </c>
      <c r="O36">
        <f>IF(N36="Remix","Citas:Remix",IF(N36="Cover","Citas:Cover",IF(N36="Radio","Single",IF(N36="Radio/Extended","Single",""))))</f>
        <v/>
      </c>
      <c r="P36">
        <f>IF(M36=1,"High_Priority",IF(M36=2,"Priority",IF(M36=3,"General_Release",IF(M36=4,"General_Release",IF(M36="","")))))</f>
        <v/>
      </c>
      <c r="Q36">
        <f>IF(N36="Remix","Citas:Remix",IF(N36="Cover","Citas:Cover",IF(N36="Radio","Single",IF(N36="Radio/Extended","Single",""))))</f>
        <v/>
      </c>
      <c r="R36">
        <f t="array" ref="R36">IF(SUM(COUNTIF(H36,{"*Deep*";"*Bass*";"*Slap*"})),"Citas:Deep House",IF(SUM(COUNTIF(H36,{"*Lo-Fi*"})),"Citas:Lo-Fi",IF(SUM(COUNTIF(H36,{"*Tech*"})),"Citas:Tech House",IF(SUM(COUNTIF(H36,{"*Indie/Chill Dance*"})),"Citas:Indie/Chill Dance",IF(SUM(COUNTIF(H36,{"*Piano*"})),"Citas:Piano House",IF(SUM(COUNTIF(H36,{"*EDM*"})),"edm dance",IF(H36="","","")))))))</f>
        <v/>
      </c>
      <c r="S36">
        <f t="array" ref="S36">IF(SUM(COUNTIF(H36,{"*Deep*";"*Bass*";"*Slap*"})),"energetic",IF(SUM(COUNTIF(H36,{"*Lo-Fi*"})),"calm",IF(SUM(COUNTIF(H36,{"*Tech*"})),"energetic",IF(SUM(COUNTIF(H36,{"*Indie/Chill Dance*"})),"chillout",IF(SUM(COUNTIF(H36,{"*Piano*"})),"energetic",IF(SUM(COUNTIF(H36,{"*EDM*"})),"energetic",IF(H36="","","")))))))</f>
        <v/>
      </c>
      <c r="T36">
        <f t="array" ref="T36">IF(SUM(COUNTIF(H36,{"*Tech*";"*EDM*";"*Indie*";"*Deep*";"*Piano*";"*Slap*";"*Brazilian Bass*"})),"Song would perfectly fit in any dance mood playlist! Label will invest up to 5000 EUR advertising on facebook and instagram ads aswell as promoting it over label and label partners playlists, radio stations and press.",IF(SUM(COUNTIF(H36,{"*Lo-Fi*"})),"Song would perfectly fit in any Lo-Fi mood playlist! Label will invest up to 5000 EUR advertising on facebook and instagram ads aswell as promoting it over label and label partners playlists, radio stations and press.",IF(H36="","","")))</f>
        <v/>
      </c>
      <c r="U36">
        <f>IF(N36="Cover","SGL",IF(N36="Radio","SGL",IF(N36="Remix","RMX",IF(N36="","","SGL"))))</f>
        <v/>
      </c>
      <c r="V36">
        <f>IF(L36="Floating Blue Records","Instrumental only",IF(L36="Day Dose Of House","Electronic, Dance, Deep House",""))</f>
        <v/>
      </c>
      <c r="AB36">
        <f t="array" ref="AB36">IF(SUM(COUNTIF(H36,{"*Deep*";"*Bass*";"*Slap*"})),"Samples,Synthesizer,Bass Guitar,Piano,Drum Kit,Electric Guitar",IF(SUM(COUNTIF(H36,{"*Lo-Fi*"})),"Samples,Synthesizer,Bass Guitar,Piano,Drum Kit,Electric Guitar",IF(SUM(COUNTIF(H36,{"*Tech*"})),"Samples,Synthesizer,Bass Guitar,Piano,Drum Kit,Electric Guitar",IF(SUM(COUNTIF(H36,{"*Indie/Chill Dance*"})),"Samples,Synthesizer,Bass Guitar,Piano,Drum Kit,Electric Guitar",IF(SUM(COUNTIF(H36,{"*Piano*"})),"Samples,Synthesizer,Bass Guitar,Piano,Drum Kit,Electric Guitar",IF(SUM(COUNTIF(H36,{"*EDM*"})),"Samples,Synthesizer,Bass Guitar,Piano,Drum Kit,Electric Guitar",IF(H36="","","")))))))</f>
        <v/>
      </c>
      <c r="AF36">
        <f t="array" aca="1" ref="AF36" ca="1">+TRIM(SUBSTITUTE(SUBSTITUTE(SUBSTITUTE(SUBSTITUTE(IFERROR(AO36&amp;" "&amp;+_xlfn.XLOOKUP(((SUM(LEN(AN36))-SUM(LEN(SUBSTITUTE(AN36,",",""))))/LEN(",")+1)&amp;H36,AV:AV&amp;AW:AW,AY:AY)&amp;CHAR(34)&amp;B36&amp;CHAR(34)&amp;"!"&amp;_xlfn.XLOOKUP(H36,text_list[Genre],text_list[Type based on genre]&amp;text_list[Label]),""),"Second",AP36),"Third",AQ36),"Forth",AR36),"Fifth",AS36&amp;" "))</f>
        <v/>
      </c>
      <c r="AH36">
        <f>IF(N41="Remix","Remix",IF(N41="Cover","Cover",IF(N41="Radio","Single",IF(N41="Radio/Extended","Original",""))))</f>
        <v/>
      </c>
      <c r="AI36">
        <f t="array" ref="AI36">IF(SUM(COUNTIF(H36,{"*Deep*";"*Bass*";"*Slap*"})),"**Tiësto**Imanbek**",IF(SUM(COUNTIF(H36,{"*Lo-Fi*"})),"**L.Dre**Yasumu**",IF(SUM(COUNTIF(H36,{"*Tech*"})),"**Mau P**Gorgon City**",IF(SUM(COUNTIF(H36,{"*Indie/Chill Dance*"})),"**Felix Jaehn**Lost Frequencies**",IF(SUM(COUNTIF(H36,{"*Piano*"})),"**Avicii**Eric Prydz**",IF(SUM(COUNTIF(H36,{"*EDM*"})),"**David Guetta**Swedish House Mafia**",IF(H36="","","")))))))</f>
        <v/>
      </c>
      <c r="AN36" s="20">
        <f>TRIM(SUBSTITUTE(SUBSTITUTE(SUBSTITUTE(A41,"&amp;",","),"feat",","),".",""))</f>
        <v/>
      </c>
      <c r="AO36" s="20">
        <f>IFERROR(_xlfn.TEXTBEFORE(AN36,","),AN36)</f>
        <v/>
      </c>
      <c r="AP36" s="20">
        <f>IFERROR(TRIM(SUBSTITUTE(SUBSTITUTE(SUBSTITUTE(SUBSTITUTE(_xlfn.TEXTAFTER(AN36,",",1),AQ36,""),AR36,""),AS36,""),",","")),"")</f>
        <v/>
      </c>
      <c r="AQ36" s="20">
        <f>IFERROR(SUBSTITUTE(SUBSTITUTE(SUBSTITUTE(_xlfn.TEXTAFTER(AN36,",",2),AR36,""),",",""),AS36,""),"")</f>
        <v/>
      </c>
      <c r="AR36" s="20">
        <f>IFERROR(SUBSTITUTE(SUBSTITUTE(_xlfn.TEXTAFTER(AN36,",",3),AS36,""),",",""),"")</f>
        <v/>
      </c>
      <c r="AS36" s="20">
        <f>IFERROR(_xlfn.TEXTAFTER(AN36,",",4),"")</f>
        <v/>
      </c>
      <c r="AV36" s="13" t="n">
        <v>5</v>
      </c>
      <c r="AW36" s="14" t="inlineStr">
        <is>
          <t>Brazilian Bass</t>
        </is>
      </c>
      <c r="AX36" s="15" t="inlineStr">
        <is>
          <t>teamed up with Second, Third, Forth, and Fifthto deliver this energetic tune called ''''! Song would perfectly fit in any dance mood playlist! Label will invest up to 5000 EUR advertising on facebook and instagram ads aswell as promoting it over label and label partners playlists, radio stations and press.</t>
        </is>
      </c>
      <c r="AY36">
        <f>+_xlfn.TEXTBEFORE(text_list[[#This Row],[Text]],"''''!",,0)</f>
        <v/>
      </c>
      <c r="AZ36">
        <f>+_xlfn.TEXTBEFORE(_xlfn.TEXTAFTER(text_list[[#This Row],[Text]],"'''!"),"Label")</f>
        <v/>
      </c>
      <c r="BA36">
        <f>+_xlfn.TEXTAFTER(text_list[[#This Row],[Text]],text_list[[#This Row],[Type based on genre]])</f>
        <v/>
      </c>
      <c r="BB36" t="inlineStr">
        <is>
          <t xml:space="preserve"> </t>
        </is>
      </c>
      <c r="BE36" t="inlineStr">
        <is>
          <t>**Germany**</t>
        </is>
      </c>
      <c r="BF36" t="inlineStr">
        <is>
          <t>Brazilian Bass</t>
        </is>
      </c>
      <c r="BG36">
        <f>+RAND()</f>
        <v/>
      </c>
      <c r="BJ36" t="inlineStr">
        <is>
          <t>**France**</t>
        </is>
      </c>
      <c r="BK36" t="inlineStr">
        <is>
          <t>Lo-Fi</t>
        </is>
      </c>
      <c r="BL36">
        <f>+RAND()</f>
        <v/>
      </c>
      <c r="BO36" t="inlineStr">
        <is>
          <t>**Germany**</t>
        </is>
      </c>
      <c r="BP36" t="inlineStr">
        <is>
          <t>Slap House</t>
        </is>
      </c>
      <c r="BQ36">
        <f>+RAND()</f>
        <v/>
      </c>
    </row>
    <row r="37">
      <c r="A37" t="inlineStr">
        <is>
          <t>Jerry Of Everything, Arnold Stone</t>
        </is>
      </c>
      <c r="B37" t="inlineStr">
        <is>
          <t>People Like Us</t>
        </is>
      </c>
      <c r="C37" t="inlineStr">
        <is>
          <t>Latvia</t>
        </is>
      </c>
      <c r="D37" t="inlineStr">
        <is>
          <t>February 24th, 2023</t>
        </is>
      </c>
      <c r="E37" t="inlineStr">
        <is>
          <t>24.02.2023</t>
        </is>
      </c>
      <c r="F37" s="3" t="n">
        <v>5063248384276</v>
      </c>
      <c r="G37" t="inlineStr">
        <is>
          <t>GX89G2393214</t>
        </is>
      </c>
      <c r="H37" t="inlineStr">
        <is>
          <t>Lo-Fi</t>
        </is>
      </c>
      <c r="I37" t="inlineStr">
        <is>
          <t>2</t>
        </is>
      </c>
      <c r="J37" t="inlineStr">
        <is>
          <t>42</t>
        </is>
      </c>
      <c r="K37" t="inlineStr">
        <is>
          <t>https://soundcloud.com/floatingbluerecords/jerry-of-everything-arnold-stone-people-like-us/s-gp0FUVnF0zM?si=57d5699309ee47bea6de9e70173ff83e&amp;utm_source=clipboard&amp;utm_medium=text&amp;utm_campaign=social_sharing</t>
        </is>
      </c>
      <c r="L37" t="inlineStr">
        <is>
          <t>Floating Blue Records</t>
        </is>
      </c>
      <c r="M37" t="n">
        <v>2</v>
      </c>
      <c r="N37" t="inlineStr">
        <is>
          <t>Radio</t>
        </is>
      </c>
      <c r="O37">
        <f>IF(N37="Remix","Citas:Remix",IF(N37="Cover","Citas:Cover",IF(N37="Radio","Single",IF(N37="Radio/Extended","Single",""))))</f>
        <v/>
      </c>
      <c r="P37">
        <f>IF(M37=1,"High_Priority",IF(M37=2,"Priority",IF(M37=3,"General_Release",IF(M37=4,"General_Release",IF(M37="","")))))</f>
        <v/>
      </c>
      <c r="Q37">
        <f>IF(N37="Remix","Citas:Remix",IF(N37="Cover","Citas:Cover",IF(N37="Radio","Single",IF(N37="Radio/Extended","Single",""))))</f>
        <v/>
      </c>
      <c r="R37">
        <f t="array" ref="R37">IF(SUM(COUNTIF(H37,{"*Deep*";"*Bass*";"*Slap*"})),"Citas:Deep House",IF(SUM(COUNTIF(H37,{"*Lo-Fi*"})),"Citas:Lo-Fi",IF(SUM(COUNTIF(H37,{"*Tech*"})),"Citas:Tech House",IF(SUM(COUNTIF(H37,{"*Indie/Chill Dance*"})),"Citas:Indie/Chill Dance",IF(SUM(COUNTIF(H37,{"*Piano*"})),"Citas:Piano House",IF(SUM(COUNTIF(H37,{"*EDM*"})),"edm dance",IF(H37="","","")))))))</f>
        <v/>
      </c>
      <c r="S37">
        <f t="array" ref="S37">IF(SUM(COUNTIF(H37,{"*Deep*";"*Bass*";"*Slap*"})),"energetic",IF(SUM(COUNTIF(H37,{"*Lo-Fi*"})),"calm",IF(SUM(COUNTIF(H37,{"*Tech*"})),"energetic",IF(SUM(COUNTIF(H37,{"*Indie/Chill Dance*"})),"chillout",IF(SUM(COUNTIF(H37,{"*Piano*"})),"energetic",IF(SUM(COUNTIF(H37,{"*EDM*"})),"energetic",IF(H37="","","")))))))</f>
        <v/>
      </c>
      <c r="T37">
        <f t="array" ref="T37">IF(SUM(COUNTIF(H37,{"*Tech*";"*EDM*";"*Indie*";"*Deep*";"*Piano*";"*Slap*";"*Brazilian Bass*"})),"Song would perfectly fit in any dance mood playlist! Label will invest up to 5000 EUR advertising on facebook and instagram ads aswell as promoting it over label and label partners playlists, radio stations and press.",IF(SUM(COUNTIF(H37,{"*Lo-Fi*"})),"Song would perfectly fit in any Lo-Fi mood playlist! Label will invest up to 5000 EUR advertising on facebook and instagram ads aswell as promoting it over label and label partners playlists, radio stations and press.",IF(H37="","","")))</f>
        <v/>
      </c>
      <c r="U37">
        <f>IF(N37="Cover","SGL",IF(N37="Radio","SGL",IF(N37="Remix","RMX",IF(N37="","","SGL"))))</f>
        <v/>
      </c>
      <c r="V37">
        <f>IF(L37="Floating Blue Records","Instrumental only",IF(L37="Day Dose Of House","Electronic, Dance, Deep House",""))</f>
        <v/>
      </c>
      <c r="AB37">
        <f t="array" ref="AB37">IF(SUM(COUNTIF(H37,{"*Deep*";"*Bass*";"*Slap*"})),"Samples,Synthesizer,Bass Guitar,Piano,Drum Kit,Electric Guitar",IF(SUM(COUNTIF(H37,{"*Lo-Fi*"})),"Samples,Synthesizer,Bass Guitar,Piano,Drum Kit,Electric Guitar",IF(SUM(COUNTIF(H37,{"*Tech*"})),"Samples,Synthesizer,Bass Guitar,Piano,Drum Kit,Electric Guitar",IF(SUM(COUNTIF(H37,{"*Indie/Chill Dance*"})),"Samples,Synthesizer,Bass Guitar,Piano,Drum Kit,Electric Guitar",IF(SUM(COUNTIF(H37,{"*Piano*"})),"Samples,Synthesizer,Bass Guitar,Piano,Drum Kit,Electric Guitar",IF(SUM(COUNTIF(H37,{"*EDM*"})),"Samples,Synthesizer,Bass Guitar,Piano,Drum Kit,Electric Guitar",IF(H37="","","")))))))</f>
        <v/>
      </c>
      <c r="AF37">
        <f t="array" aca="1" ref="AF37" ca="1">+TRIM(SUBSTITUTE(SUBSTITUTE(SUBSTITUTE(SUBSTITUTE(IFERROR(AO37&amp;" "&amp;+_xlfn.XLOOKUP(((SUM(LEN(AN37))-SUM(LEN(SUBSTITUTE(AN37,",",""))))/LEN(",")+1)&amp;H37,AV:AV&amp;AW:AW,AY:AY)&amp;CHAR(34)&amp;B37&amp;CHAR(34)&amp;"!"&amp;_xlfn.XLOOKUP(H37,text_list[Genre],text_list[Type based on genre]&amp;text_list[Label]),""),"Second",AP37),"Third",AQ37),"Forth",AR37),"Fifth",AS37&amp;" "))</f>
        <v/>
      </c>
      <c r="AH37">
        <f>IF(N42="Remix","Remix",IF(N42="Cover","Cover",IF(N42="Radio","Single",IF(N42="Radio/Extended","Original",""))))</f>
        <v/>
      </c>
      <c r="AI37">
        <f t="array" ref="AI37">IF(SUM(COUNTIF(H37,{"*Deep*";"*Bass*";"*Slap*"})),"**Tiësto**Imanbek**",IF(SUM(COUNTIF(H37,{"*Lo-Fi*"})),"**L.Dre**Yasumu**",IF(SUM(COUNTIF(H37,{"*Tech*"})),"**Mau P**Gorgon City**",IF(SUM(COUNTIF(H37,{"*Indie/Chill Dance*"})),"**Felix Jaehn**Lost Frequencies**",IF(SUM(COUNTIF(H37,{"*Piano*"})),"**Avicii**Eric Prydz**",IF(SUM(COUNTIF(H37,{"*EDM*"})),"**David Guetta**Swedish House Mafia**",IF(H37="","","")))))))</f>
        <v/>
      </c>
      <c r="AN37" s="20">
        <f>TRIM(SUBSTITUTE(SUBSTITUTE(SUBSTITUTE(A42,"&amp;",","),"feat",","),".",""))</f>
        <v/>
      </c>
      <c r="AO37" s="20">
        <f>IFERROR(_xlfn.TEXTBEFORE(AN37,","),AN37)</f>
        <v/>
      </c>
      <c r="AP37" s="20">
        <f>IFERROR(TRIM(SUBSTITUTE(SUBSTITUTE(SUBSTITUTE(SUBSTITUTE(_xlfn.TEXTAFTER(AN37,",",1),AQ37,""),AR37,""),AS37,""),",","")),"")</f>
        <v/>
      </c>
      <c r="AQ37" s="20">
        <f>IFERROR(SUBSTITUTE(SUBSTITUTE(SUBSTITUTE(_xlfn.TEXTAFTER(AN37,",",2),AR37,""),",",""),AS37,""),"")</f>
        <v/>
      </c>
      <c r="AR37" s="20">
        <f>IFERROR(SUBSTITUTE(SUBSTITUTE(_xlfn.TEXTAFTER(AN37,",",3),AS37,""),",",""),"")</f>
        <v/>
      </c>
      <c r="AS37" s="20">
        <f>IFERROR(_xlfn.TEXTAFTER(AN37,",",4),"")</f>
        <v/>
      </c>
      <c r="AV37" s="13" t="n">
        <v>1</v>
      </c>
      <c r="AW37" s="14" t="inlineStr">
        <is>
          <t>EDM</t>
        </is>
      </c>
      <c r="AX37" s="12" t="inlineStr">
        <is>
          <t>is back to deliver this energetic tune called ''''! Song would perfectly fit in any dance mood playlist! Label will invest up to 5000 EUR advertising on facebook and instagram ads aswell as promoting it over label and label partners playlists, radio stations and press.</t>
        </is>
      </c>
      <c r="AY37">
        <f>+_xlfn.TEXTBEFORE(text_list[[#This Row],[Text]],"''''!",,0)</f>
        <v/>
      </c>
      <c r="AZ37">
        <f>+_xlfn.TEXTBEFORE(_xlfn.TEXTAFTER(text_list[[#This Row],[Text]],"'''!"),"Label")</f>
        <v/>
      </c>
      <c r="BA37">
        <f>+_xlfn.TEXTAFTER(text_list[[#This Row],[Text]],text_list[[#This Row],[Type based on genre]])</f>
        <v/>
      </c>
      <c r="BE37" t="inlineStr">
        <is>
          <t>**France**</t>
        </is>
      </c>
      <c r="BF37" t="inlineStr">
        <is>
          <t>Brazilian Bass</t>
        </is>
      </c>
      <c r="BG37">
        <f>+RAND()</f>
        <v/>
      </c>
      <c r="BJ37" t="inlineStr">
        <is>
          <t>**Mexico**</t>
        </is>
      </c>
      <c r="BK37" t="inlineStr">
        <is>
          <t>Lo-Fi</t>
        </is>
      </c>
      <c r="BL37">
        <f>+RAND()</f>
        <v/>
      </c>
      <c r="BO37" t="inlineStr">
        <is>
          <t>**France**</t>
        </is>
      </c>
      <c r="BP37" t="inlineStr">
        <is>
          <t>Slap House</t>
        </is>
      </c>
      <c r="BQ37">
        <f>+RAND()</f>
        <v/>
      </c>
    </row>
    <row r="38">
      <c r="A38" t="inlineStr">
        <is>
          <t>Jerry Of Everything, Arnold Stone</t>
        </is>
      </c>
      <c r="B38" t="inlineStr">
        <is>
          <t>People Like Us</t>
        </is>
      </c>
      <c r="C38" t="inlineStr">
        <is>
          <t>Latvia</t>
        </is>
      </c>
      <c r="D38" t="inlineStr">
        <is>
          <t>February 24th, 2023</t>
        </is>
      </c>
      <c r="E38" t="inlineStr">
        <is>
          <t>24.02.2023</t>
        </is>
      </c>
      <c r="F38" s="3" t="n">
        <v>5063248384276</v>
      </c>
      <c r="G38" t="inlineStr">
        <is>
          <t>GX89G2393214</t>
        </is>
      </c>
      <c r="H38" t="inlineStr">
        <is>
          <t>Lo-Fi</t>
        </is>
      </c>
      <c r="I38" t="inlineStr">
        <is>
          <t>2</t>
        </is>
      </c>
      <c r="J38" t="inlineStr">
        <is>
          <t>42</t>
        </is>
      </c>
      <c r="K38" t="inlineStr">
        <is>
          <t>https://soundcloud.com/floatingbluerecords/jerry-of-everything-arnold-stone-people-like-us/s-gp0FUVnF0zM?si=57d5699309ee47bea6de9e70173ff83e&amp;utm_source=clipboard&amp;utm_medium=text&amp;utm_campaign=social_sharing</t>
        </is>
      </c>
      <c r="L38" t="inlineStr">
        <is>
          <t>Floating Blue Records</t>
        </is>
      </c>
      <c r="M38" t="n">
        <v>2</v>
      </c>
      <c r="N38" t="inlineStr">
        <is>
          <t>Radio</t>
        </is>
      </c>
      <c r="O38">
        <f>IF(N38="Remix","Citas:Remix",IF(N38="Cover","Citas:Cover",IF(N38="Radio","Single",IF(N38="Radio/Extended","Single",""))))</f>
        <v/>
      </c>
      <c r="P38">
        <f>IF(M38=1,"High_Priority",IF(M38=2,"Priority",IF(M38=3,"General_Release",IF(M38=4,"General_Release",IF(M38="","")))))</f>
        <v/>
      </c>
      <c r="Q38">
        <f>IF(N38="Remix","Citas:Remix",IF(N38="Cover","Citas:Cover",IF(N38="Radio","Single",IF(N38="Radio/Extended","Single",""))))</f>
        <v/>
      </c>
      <c r="R38">
        <f t="array" ref="R38">IF(SUM(COUNTIF(H38,{"*Deep*";"*Bass*";"*Slap*"})),"Citas:Deep House",IF(SUM(COUNTIF(H38,{"*Lo-Fi*"})),"Citas:Lo-Fi",IF(SUM(COUNTIF(H38,{"*Tech*"})),"Citas:Tech House",IF(SUM(COUNTIF(H38,{"*Indie/Chill Dance*"})),"Citas:Indie/Chill Dance",IF(SUM(COUNTIF(H38,{"*Piano*"})),"Citas:Piano House",IF(SUM(COUNTIF(H38,{"*EDM*"})),"edm dance",IF(H38="","","")))))))</f>
        <v/>
      </c>
      <c r="S38">
        <f t="array" ref="S38">IF(SUM(COUNTIF(H38,{"*Deep*";"*Bass*";"*Slap*"})),"energetic",IF(SUM(COUNTIF(H38,{"*Lo-Fi*"})),"calm",IF(SUM(COUNTIF(H38,{"*Tech*"})),"energetic",IF(SUM(COUNTIF(H38,{"*Indie/Chill Dance*"})),"chillout",IF(SUM(COUNTIF(H38,{"*Piano*"})),"energetic",IF(SUM(COUNTIF(H38,{"*EDM*"})),"energetic",IF(H38="","","")))))))</f>
        <v/>
      </c>
      <c r="T38">
        <f t="array" ref="T38">IF(SUM(COUNTIF(H38,{"*Tech*";"*EDM*";"*Indie*";"*Deep*";"*Piano*";"*Slap*";"*Brazilian Bass*"})),"Song would perfectly fit in any dance mood playlist! Label will invest up to 5000 EUR advertising on facebook and instagram ads aswell as promoting it over label and label partners playlists, radio stations and press.",IF(SUM(COUNTIF(H38,{"*Lo-Fi*"})),"Song would perfectly fit in any Lo-Fi mood playlist! Label will invest up to 5000 EUR advertising on facebook and instagram ads aswell as promoting it over label and label partners playlists, radio stations and press.",IF(H38="","","")))</f>
        <v/>
      </c>
      <c r="V38">
        <f>IF(L38="Floating Blue Records","Instrumental only",IF(L38="Day Dose Of House","Electronic, Dance, Deep House",""))</f>
        <v/>
      </c>
      <c r="AB38">
        <f t="array" ref="AB38">IF(SUM(COUNTIF(H38,{"*Deep*";"*Bass*";"*Slap*"})),"Samples,Synthesizer,Bass Guitar,Piano,Drum Kit,Electric Guitar",IF(SUM(COUNTIF(H38,{"*Lo-Fi*"})),"Samples,Synthesizer,Bass Guitar,Piano,Drum Kit,Electric Guitar",IF(SUM(COUNTIF(H38,{"*Tech*"})),"Samples,Synthesizer,Bass Guitar,Piano,Drum Kit,Electric Guitar",IF(SUM(COUNTIF(H38,{"*Indie/Chill Dance*"})),"Samples,Synthesizer,Bass Guitar,Piano,Drum Kit,Electric Guitar",IF(SUM(COUNTIF(H38,{"*Piano*"})),"Samples,Synthesizer,Bass Guitar,Piano,Drum Kit,Electric Guitar",IF(SUM(COUNTIF(H38,{"*EDM*"})),"Samples,Synthesizer,Bass Guitar,Piano,Drum Kit,Electric Guitar",IF(H38="","","")))))))</f>
        <v/>
      </c>
      <c r="AF38">
        <f t="array" aca="1" ref="AF38" ca="1">+TRIM(SUBSTITUTE(SUBSTITUTE(SUBSTITUTE(SUBSTITUTE(IFERROR(AO38&amp;" "&amp;+_xlfn.XLOOKUP(((SUM(LEN(AN38))-SUM(LEN(SUBSTITUTE(AN38,",",""))))/LEN(",")+1)&amp;H38,AV:AV&amp;AW:AW,AY:AY)&amp;CHAR(34)&amp;B38&amp;CHAR(34)&amp;"!"&amp;_xlfn.XLOOKUP(H38,text_list[Genre],text_list[Type based on genre]&amp;text_list[Label]),""),"Second",AP38),"Third",AQ38),"Forth",AR38),"Fifth",AS38&amp;" "))</f>
        <v/>
      </c>
      <c r="AH38">
        <f>IF(N43="Remix","Remix",IF(N43="Cover","Cover",IF(N43="Radio","Single",IF(N43="Radio/Extended","Original",""))))</f>
        <v/>
      </c>
      <c r="AI38">
        <f t="array" ref="AI38">IF(SUM(COUNTIF(H38,{"*Deep*";"*Bass*";"*Slap*"})),"**Tiësto**Imanbek**",IF(SUM(COUNTIF(H38,{"*Lo-Fi*"})),"**L.Dre**Yasumu**",IF(SUM(COUNTIF(H38,{"*Tech*"})),"**Mau P**Gorgon City**",IF(SUM(COUNTIF(H38,{"*Indie/Chill Dance*"})),"**Felix Jaehn**Lost Frequencies**",IF(SUM(COUNTIF(H38,{"*Piano*"})),"**Avicii**Eric Prydz**",IF(SUM(COUNTIF(H38,{"*EDM*"})),"**David Guetta**Swedish House Mafia**",IF(H38="","","")))))))</f>
        <v/>
      </c>
      <c r="AN38" s="20">
        <f>TRIM(SUBSTITUTE(SUBSTITUTE(SUBSTITUTE(A43,"&amp;",","),"feat",","),".",""))</f>
        <v/>
      </c>
      <c r="AO38" s="20">
        <f>IFERROR(_xlfn.TEXTBEFORE(AN38,","),AN38)</f>
        <v/>
      </c>
      <c r="AP38" s="20">
        <f>IFERROR(TRIM(SUBSTITUTE(SUBSTITUTE(SUBSTITUTE(SUBSTITUTE(_xlfn.TEXTAFTER(AN38,",",1),AQ38,""),AR38,""),AS38,""),",","")),"")</f>
        <v/>
      </c>
      <c r="AQ38" s="20">
        <f>IFERROR(SUBSTITUTE(SUBSTITUTE(SUBSTITUTE(_xlfn.TEXTAFTER(AN38,",",2),AR38,""),",",""),AS38,""),"")</f>
        <v/>
      </c>
      <c r="AR38" s="20">
        <f>IFERROR(SUBSTITUTE(SUBSTITUTE(_xlfn.TEXTAFTER(AN38,",",3),AS38,""),",",""),"")</f>
        <v/>
      </c>
      <c r="AS38" s="20">
        <f>IFERROR(_xlfn.TEXTAFTER(AN38,",",4),"")</f>
        <v/>
      </c>
      <c r="AV38" s="11" t="n">
        <v>2</v>
      </c>
      <c r="AW38" s="14" t="inlineStr">
        <is>
          <t>EDM</t>
        </is>
      </c>
      <c r="AX38" s="12" t="inlineStr">
        <is>
          <t>teamed up with Second to deliver this energetic tune called ''''! Song would perfectly fit in any dance mood playlist! Label will invest up to 5000 EUR advertising on facebook and instagram ads aswell as promoting it over label and label partners playlists, radio stations and press.</t>
        </is>
      </c>
      <c r="AY38">
        <f>+_xlfn.TEXTBEFORE(text_list[[#This Row],[Text]],"''''!",,0)</f>
        <v/>
      </c>
      <c r="AZ38">
        <f>+_xlfn.TEXTBEFORE(_xlfn.TEXTAFTER(text_list[[#This Row],[Text]],"'''!"),"Label")</f>
        <v/>
      </c>
      <c r="BA38">
        <f>+_xlfn.TEXTAFTER(text_list[[#This Row],[Text]],text_list[[#This Row],[Type based on genre]])</f>
        <v/>
      </c>
      <c r="BE38" t="inlineStr">
        <is>
          <t>**Brasil**</t>
        </is>
      </c>
      <c r="BF38" t="inlineStr">
        <is>
          <t>Brazilian Bass</t>
        </is>
      </c>
      <c r="BG38">
        <f>+RAND()</f>
        <v/>
      </c>
      <c r="BJ38" t="inlineStr">
        <is>
          <t>**Australia**</t>
        </is>
      </c>
      <c r="BK38" t="inlineStr">
        <is>
          <t>Lo-Fi</t>
        </is>
      </c>
      <c r="BL38">
        <f>+RAND()</f>
        <v/>
      </c>
      <c r="BO38" t="inlineStr">
        <is>
          <t>**Brasil**</t>
        </is>
      </c>
      <c r="BP38" t="inlineStr">
        <is>
          <t>Slap House</t>
        </is>
      </c>
      <c r="BQ38">
        <f>+RAND()</f>
        <v/>
      </c>
    </row>
    <row r="39">
      <c r="A39" t="inlineStr">
        <is>
          <t>Jerry Of Everything, Arnold Stone</t>
        </is>
      </c>
      <c r="B39" t="inlineStr">
        <is>
          <t>People Like Us</t>
        </is>
      </c>
      <c r="C39" t="inlineStr">
        <is>
          <t>Latvia</t>
        </is>
      </c>
      <c r="D39" t="inlineStr">
        <is>
          <t>February 24th, 2023</t>
        </is>
      </c>
      <c r="E39" t="inlineStr">
        <is>
          <t>24.02.2023</t>
        </is>
      </c>
      <c r="F39" s="3" t="n">
        <v>5063248384276</v>
      </c>
      <c r="G39" t="inlineStr">
        <is>
          <t>GX89G2393214</t>
        </is>
      </c>
      <c r="H39" t="inlineStr">
        <is>
          <t>Lo-Fi</t>
        </is>
      </c>
      <c r="I39" t="inlineStr">
        <is>
          <t>2</t>
        </is>
      </c>
      <c r="J39" t="inlineStr">
        <is>
          <t>42</t>
        </is>
      </c>
      <c r="K39" t="inlineStr">
        <is>
          <t>https://soundcloud.com/floatingbluerecords/jerry-of-everything-arnold-stone-people-like-us/s-gp0FUVnF0zM?si=57d5699309ee47bea6de9e70173ff83e&amp;utm_source=clipboard&amp;utm_medium=text&amp;utm_campaign=social_sharing</t>
        </is>
      </c>
      <c r="L39" t="inlineStr">
        <is>
          <t>Floating Blue Records</t>
        </is>
      </c>
      <c r="M39" t="n">
        <v>2</v>
      </c>
      <c r="N39" t="inlineStr">
        <is>
          <t>Radio</t>
        </is>
      </c>
      <c r="O39">
        <f>IF(N39="Remix","Citas:Remix",IF(N39="Cover","Citas:Cover",IF(N39="Radio","Single",IF(N39="Radio/Extended","Single",""))))</f>
        <v/>
      </c>
      <c r="P39">
        <f>IF(M39=1,"High_Priority",IF(M39=2,"Priority",IF(M39=3,"General_Release",IF(M39=4,"General_Release",IF(M39="","")))))</f>
        <v/>
      </c>
      <c r="Q39">
        <f>IF(N39="Remix","Citas:Remix",IF(N39="Cover","Citas:Cover",IF(N39="Radio","Single",IF(N39="Radio/Extended","Single",""))))</f>
        <v/>
      </c>
      <c r="R39">
        <f t="array" ref="R39">IF(SUM(COUNTIF(H39,{"*Deep*";"*Bass*";"*Slap*"})),"Citas:Deep House",IF(SUM(COUNTIF(H39,{"*Lo-Fi*"})),"Citas:Lo-Fi",IF(SUM(COUNTIF(H39,{"*Tech*"})),"Citas:Tech House",IF(SUM(COUNTIF(H39,{"*Indie/Chill Dance*"})),"Citas:Indie/Chill Dance",IF(SUM(COUNTIF(H39,{"*Piano*"})),"Citas:Piano House",IF(SUM(COUNTIF(H39,{"*EDM*"})),"edm dance",IF(H39="","","")))))))</f>
        <v/>
      </c>
      <c r="S39">
        <f t="array" ref="S39">IF(SUM(COUNTIF(H39,{"*Deep*";"*Bass*";"*Slap*"})),"energetic",IF(SUM(COUNTIF(H39,{"*Lo-Fi*"})),"calm",IF(SUM(COUNTIF(H39,{"*Tech*"})),"energetic",IF(SUM(COUNTIF(H39,{"*Indie/Chill Dance*"})),"chillout",IF(SUM(COUNTIF(H39,{"*Piano*"})),"energetic",IF(SUM(COUNTIF(H39,{"*EDM*"})),"energetic",IF(H39="","","")))))))</f>
        <v/>
      </c>
      <c r="T39">
        <f t="array" ref="T39">IF(SUM(COUNTIF(H39,{"*Tech*";"*EDM*";"*Indie*";"*Deep*";"*Piano*";"*Slap*";"*Brazilian Bass*"})),"Song would perfectly fit in any dance mood playlist! Label will invest up to 5000 EUR advertising on facebook and instagram ads aswell as promoting it over label and label partners playlists, radio stations and press.",IF(SUM(COUNTIF(H39,{"*Lo-Fi*"})),"Song would perfectly fit in any Lo-Fi mood playlist! Label will invest up to 5000 EUR advertising on facebook and instagram ads aswell as promoting it over label and label partners playlists, radio stations and press.",IF(H39="","","")))</f>
        <v/>
      </c>
      <c r="AB39">
        <f t="array" ref="AB39">IF(SUM(COUNTIF(H39,{"*Deep*";"*Bass*";"*Slap*"})),"Samples,Synthesizer,Bass Guitar,Piano,Drum Kit,Electric Guitar",IF(SUM(COUNTIF(H39,{"*Lo-Fi*"})),"Samples,Synthesizer,Bass Guitar,Piano,Drum Kit,Electric Guitar",IF(SUM(COUNTIF(H39,{"*Tech*"})),"Samples,Synthesizer,Bass Guitar,Piano,Drum Kit,Electric Guitar",IF(SUM(COUNTIF(H39,{"*Indie/Chill Dance*"})),"Samples,Synthesizer,Bass Guitar,Piano,Drum Kit,Electric Guitar",IF(SUM(COUNTIF(H39,{"*Piano*"})),"Samples,Synthesizer,Bass Guitar,Piano,Drum Kit,Electric Guitar",IF(SUM(COUNTIF(H39,{"*EDM*"})),"Samples,Synthesizer,Bass Guitar,Piano,Drum Kit,Electric Guitar",IF(H39="","","")))))))</f>
        <v/>
      </c>
      <c r="AF39">
        <f t="array" aca="1" ref="AF39" ca="1">+TRIM(SUBSTITUTE(SUBSTITUTE(SUBSTITUTE(SUBSTITUTE(IFERROR(AO39&amp;" "&amp;+_xlfn.XLOOKUP(((SUM(LEN(AN39))-SUM(LEN(SUBSTITUTE(AN39,",",""))))/LEN(",")+1)&amp;H39,AV:AV&amp;AW:AW,AY:AY)&amp;CHAR(34)&amp;B39&amp;CHAR(34)&amp;"!"&amp;_xlfn.XLOOKUP(H39,text_list[Genre],text_list[Type based on genre]&amp;text_list[Label]),""),"Second",AP39),"Third",AQ39),"Forth",AR39),"Fifth",AS39&amp;" "))</f>
        <v/>
      </c>
      <c r="AH39">
        <f>IF(N44="Remix","Remix",IF(N44="Cover","Cover",IF(N44="Radio","Single",IF(N44="Radio/Extended","Original",""))))</f>
        <v/>
      </c>
      <c r="AI39">
        <f t="array" ref="AI39">IF(SUM(COUNTIF(H39,{"*Deep*";"*Bass*";"*Slap*"})),"**Tiësto**Imanbek**",IF(SUM(COUNTIF(H39,{"*Lo-Fi*"})),"**L.Dre**Yasumu**",IF(SUM(COUNTIF(H39,{"*Tech*"})),"**Mau P**Gorgon City**",IF(SUM(COUNTIF(H39,{"*Indie/Chill Dance*"})),"**Felix Jaehn**Lost Frequencies**",IF(SUM(COUNTIF(H39,{"*Piano*"})),"**Avicii**Eric Prydz**",IF(SUM(COUNTIF(H39,{"*EDM*"})),"**David Guetta**Swedish House Mafia**",IF(H39="","","")))))))</f>
        <v/>
      </c>
      <c r="AN39" s="20">
        <f>TRIM(SUBSTITUTE(SUBSTITUTE(SUBSTITUTE(A44,"&amp;",","),"feat",","),".",""))</f>
        <v/>
      </c>
      <c r="AO39" s="20">
        <f>IFERROR(_xlfn.TEXTBEFORE(AN39,","),AN39)</f>
        <v/>
      </c>
      <c r="AP39" s="20">
        <f>IFERROR(TRIM(SUBSTITUTE(SUBSTITUTE(SUBSTITUTE(SUBSTITUTE(_xlfn.TEXTAFTER(AN39,",",1),AQ39,""),AR39,""),AS39,""),",","")),"")</f>
        <v/>
      </c>
      <c r="AQ39" s="20">
        <f>IFERROR(SUBSTITUTE(SUBSTITUTE(SUBSTITUTE(_xlfn.TEXTAFTER(AN39,",",2),AR39,""),",",""),AS39,""),"")</f>
        <v/>
      </c>
      <c r="AR39" s="20">
        <f>IFERROR(SUBSTITUTE(SUBSTITUTE(_xlfn.TEXTAFTER(AN39,",",3),AS39,""),",",""),"")</f>
        <v/>
      </c>
      <c r="AS39" s="20">
        <f>IFERROR(_xlfn.TEXTAFTER(AN39,",",4),"")</f>
        <v/>
      </c>
      <c r="AV39" s="11" t="n">
        <v>3</v>
      </c>
      <c r="AW39" s="14" t="inlineStr">
        <is>
          <t>EDM</t>
        </is>
      </c>
      <c r="AX39" s="12" t="inlineStr">
        <is>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is>
      </c>
      <c r="AY39">
        <f>+_xlfn.TEXTBEFORE(text_list[[#This Row],[Text]],"''''!",,0)</f>
        <v/>
      </c>
      <c r="AZ39">
        <f>+_xlfn.TEXTBEFORE(_xlfn.TEXTAFTER(text_list[[#This Row],[Text]],"'''!"),"Label")</f>
        <v/>
      </c>
      <c r="BA39">
        <f>+_xlfn.TEXTAFTER(text_list[[#This Row],[Text]],text_list[[#This Row],[Type based on genre]])</f>
        <v/>
      </c>
      <c r="BE39" t="inlineStr">
        <is>
          <t>**Mexico**</t>
        </is>
      </c>
      <c r="BF39" t="inlineStr">
        <is>
          <t>Brazilian Bass</t>
        </is>
      </c>
      <c r="BG39">
        <f>+RAND()</f>
        <v/>
      </c>
      <c r="BJ39" t="inlineStr">
        <is>
          <t>**Japan**</t>
        </is>
      </c>
      <c r="BK39" t="inlineStr">
        <is>
          <t>Lo-Fi</t>
        </is>
      </c>
      <c r="BL39">
        <f>+RAND()</f>
        <v/>
      </c>
      <c r="BO39" t="inlineStr">
        <is>
          <t>**Mexico**</t>
        </is>
      </c>
      <c r="BP39" t="inlineStr">
        <is>
          <t>Slap House</t>
        </is>
      </c>
      <c r="BQ39">
        <f>+RAND()</f>
        <v/>
      </c>
    </row>
    <row r="40">
      <c r="A40" t="inlineStr">
        <is>
          <t>Jerry Of Everything, Arnold Stone</t>
        </is>
      </c>
      <c r="B40" t="inlineStr">
        <is>
          <t>People Like Us</t>
        </is>
      </c>
      <c r="C40" t="inlineStr">
        <is>
          <t>Latvia</t>
        </is>
      </c>
      <c r="D40" t="inlineStr">
        <is>
          <t>February 24th, 2023</t>
        </is>
      </c>
      <c r="E40" t="inlineStr">
        <is>
          <t>24.02.2023</t>
        </is>
      </c>
      <c r="F40" s="3" t="n">
        <v>5063248384276</v>
      </c>
      <c r="G40" t="inlineStr">
        <is>
          <t>GX89G2393214</t>
        </is>
      </c>
      <c r="H40" t="inlineStr">
        <is>
          <t>Lo-Fi</t>
        </is>
      </c>
      <c r="I40" t="inlineStr">
        <is>
          <t>2</t>
        </is>
      </c>
      <c r="J40" t="inlineStr">
        <is>
          <t>42</t>
        </is>
      </c>
      <c r="K40" t="inlineStr">
        <is>
          <t>https://soundcloud.com/floatingbluerecords/jerry-of-everything-arnold-stone-people-like-us/s-gp0FUVnF0zM?si=57d5699309ee47bea6de9e70173ff83e&amp;utm_source=clipboard&amp;utm_medium=text&amp;utm_campaign=social_sharing</t>
        </is>
      </c>
      <c r="L40" t="inlineStr">
        <is>
          <t>Floating Blue Records</t>
        </is>
      </c>
      <c r="M40" t="n">
        <v>2</v>
      </c>
      <c r="N40" t="inlineStr">
        <is>
          <t>Radio</t>
        </is>
      </c>
      <c r="O40">
        <f>IF(N40="Remix","Citas:Remix",IF(N40="Cover","Citas:Cover",IF(N40="Radio","Single",IF(N40="Radio/Extended","Single",""))))</f>
        <v/>
      </c>
      <c r="P40">
        <f>IF(M40=1,"High_Priority",IF(M40=2,"Priority",IF(M40=3,"General_Release",IF(M40=4,"General_Release",IF(M40="","")))))</f>
        <v/>
      </c>
      <c r="Q40">
        <f>IF(N40="Remix","Citas:Remix",IF(N40="Cover","Citas:Cover",IF(N40="Radio","Single",IF(N40="Radio/Extended","Single",""))))</f>
        <v/>
      </c>
      <c r="R40">
        <f t="array" ref="R40">IF(SUM(COUNTIF(H40,{"*Deep*";"*Bass*";"*Slap*"})),"Citas:Deep House",IF(SUM(COUNTIF(H40,{"*Lo-Fi*"})),"Citas:Lo-Fi",IF(SUM(COUNTIF(H40,{"*Tech*"})),"Citas:Tech House",IF(SUM(COUNTIF(H40,{"*Indie/Chill Dance*"})),"Citas:Indie/Chill Dance",IF(SUM(COUNTIF(H40,{"*Piano*"})),"Citas:Piano House",IF(SUM(COUNTIF(H40,{"*EDM*"})),"edm dance",IF(H40="","","")))))))</f>
        <v/>
      </c>
      <c r="S40">
        <f t="array" ref="S40">IF(SUM(COUNTIF(H40,{"*Deep*";"*Bass*";"*Slap*"})),"energetic",IF(SUM(COUNTIF(H40,{"*Lo-Fi*"})),"calm",IF(SUM(COUNTIF(H40,{"*Tech*"})),"energetic",IF(SUM(COUNTIF(H40,{"*Indie/Chill Dance*"})),"chillout",IF(SUM(COUNTIF(H40,{"*Piano*"})),"energetic",IF(SUM(COUNTIF(H40,{"*EDM*"})),"energetic",IF(H40="","","")))))))</f>
        <v/>
      </c>
      <c r="T40">
        <f t="array" ref="T40">IF(SUM(COUNTIF(H40,{"*Tech*";"*EDM*";"*Indie*";"*Deep*";"*Piano*";"*Slap*";"*Brazilian Bass*"})),"Song would perfectly fit in any dance mood playlist! Label will invest up to 5000 EUR advertising on facebook and instagram ads aswell as promoting it over label and label partners playlists, radio stations and press.",IF(SUM(COUNTIF(H40,{"*Lo-Fi*"})),"Song would perfectly fit in any Lo-Fi mood playlist! Label will invest up to 5000 EUR advertising on facebook and instagram ads aswell as promoting it over label and label partners playlists, radio stations and press.",IF(H40="","","")))</f>
        <v/>
      </c>
      <c r="AB40">
        <f t="array" ref="AB40">IF(SUM(COUNTIF(H40,{"*Deep*";"*Bass*";"*Slap*"})),"Samples,Synthesizer,Bass Guitar,Piano,Drum Kit,Electric Guitar",IF(SUM(COUNTIF(H40,{"*Lo-Fi*"})),"Samples,Synthesizer,Bass Guitar,Piano,Drum Kit,Electric Guitar",IF(SUM(COUNTIF(H40,{"*Tech*"})),"Samples,Synthesizer,Bass Guitar,Piano,Drum Kit,Electric Guitar",IF(SUM(COUNTIF(H40,{"*Indie/Chill Dance*"})),"Samples,Synthesizer,Bass Guitar,Piano,Drum Kit,Electric Guitar",IF(SUM(COUNTIF(H40,{"*Piano*"})),"Samples,Synthesizer,Bass Guitar,Piano,Drum Kit,Electric Guitar",IF(SUM(COUNTIF(H40,{"*EDM*"})),"Samples,Synthesizer,Bass Guitar,Piano,Drum Kit,Electric Guitar",IF(H40="","","")))))))</f>
        <v/>
      </c>
      <c r="AF40">
        <f t="array" aca="1" ref="AF40" ca="1">+TRIM(SUBSTITUTE(SUBSTITUTE(SUBSTITUTE(SUBSTITUTE(IFERROR(AO40&amp;" "&amp;+_xlfn.XLOOKUP(((SUM(LEN(AN40))-SUM(LEN(SUBSTITUTE(AN40,",",""))))/LEN(",")+1)&amp;H40,AV:AV&amp;AW:AW,AY:AY)&amp;CHAR(34)&amp;B40&amp;CHAR(34)&amp;"!"&amp;_xlfn.XLOOKUP(H40,text_list[Genre],text_list[Type based on genre]&amp;text_list[Label]),""),"Second",AP40),"Third",AQ40),"Forth",AR40),"Fifth",AS40&amp;" "))</f>
        <v/>
      </c>
      <c r="AH40">
        <f>IF(N45="Remix","Remix",IF(N45="Cover","Cover",IF(N45="Radio","Single",IF(N45="Radio/Extended","Original",""))))</f>
        <v/>
      </c>
      <c r="AI40">
        <f t="array" ref="AI40">IF(SUM(COUNTIF(H40,{"*Deep*";"*Bass*";"*Slap*"})),"**Tiësto**Imanbek**",IF(SUM(COUNTIF(H40,{"*Lo-Fi*"})),"**L.Dre**Yasumu**",IF(SUM(COUNTIF(H40,{"*Tech*"})),"**Mau P**Gorgon City**",IF(SUM(COUNTIF(H40,{"*Indie/Chill Dance*"})),"**Felix Jaehn**Lost Frequencies**",IF(SUM(COUNTIF(H40,{"*Piano*"})),"**Avicii**Eric Prydz**",IF(SUM(COUNTIF(H40,{"*EDM*"})),"**David Guetta**Swedish House Mafia**",IF(H40="","","")))))))</f>
        <v/>
      </c>
      <c r="AN40" s="20">
        <f>TRIM(SUBSTITUTE(SUBSTITUTE(SUBSTITUTE(A45,"&amp;",","),"feat",","),".",""))</f>
        <v/>
      </c>
      <c r="AO40" s="20">
        <f>IFERROR(_xlfn.TEXTBEFORE(AN40,","),AN40)</f>
        <v/>
      </c>
      <c r="AP40" s="20">
        <f>IFERROR(TRIM(SUBSTITUTE(SUBSTITUTE(SUBSTITUTE(SUBSTITUTE(_xlfn.TEXTAFTER(AN40,",",1),AQ40,""),AR40,""),AS40,""),",","")),"")</f>
        <v/>
      </c>
      <c r="AQ40" s="20">
        <f>IFERROR(SUBSTITUTE(SUBSTITUTE(SUBSTITUTE(_xlfn.TEXTAFTER(AN40,",",2),AR40,""),",",""),AS40,""),"")</f>
        <v/>
      </c>
      <c r="AR40" s="20">
        <f>IFERROR(SUBSTITUTE(SUBSTITUTE(_xlfn.TEXTAFTER(AN40,",",3),AS40,""),",",""),"")</f>
        <v/>
      </c>
      <c r="AS40" s="20">
        <f>IFERROR(_xlfn.TEXTAFTER(AN40,",",4),"")</f>
        <v/>
      </c>
      <c r="AV40" s="11" t="n">
        <v>4</v>
      </c>
      <c r="AW40" s="14" t="inlineStr">
        <is>
          <t>EDM</t>
        </is>
      </c>
      <c r="AX40" s="12" t="inlineStr">
        <is>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is>
      </c>
      <c r="AY40">
        <f>+_xlfn.TEXTBEFORE(text_list[[#This Row],[Text]],"''''!",,0)</f>
        <v/>
      </c>
      <c r="AZ40">
        <f>+_xlfn.TEXTBEFORE(_xlfn.TEXTAFTER(text_list[[#This Row],[Text]],"'''!"),"Label")</f>
        <v/>
      </c>
      <c r="BA40">
        <f>+_xlfn.TEXTAFTER(text_list[[#This Row],[Text]],text_list[[#This Row],[Type based on genre]])</f>
        <v/>
      </c>
      <c r="BE40" t="inlineStr">
        <is>
          <t>**Italy**</t>
        </is>
      </c>
      <c r="BF40" t="inlineStr">
        <is>
          <t>Brazilian Bass</t>
        </is>
      </c>
      <c r="BG40">
        <f>+RAND()</f>
        <v/>
      </c>
      <c r="BO40" t="inlineStr">
        <is>
          <t>**Italy**</t>
        </is>
      </c>
      <c r="BP40" t="inlineStr">
        <is>
          <t>Slap House</t>
        </is>
      </c>
      <c r="BQ40">
        <f>+RAND()</f>
        <v/>
      </c>
    </row>
    <row r="41">
      <c r="A41" t="inlineStr">
        <is>
          <t>Jerry Of Everything, Arnold Stone</t>
        </is>
      </c>
      <c r="B41" t="inlineStr">
        <is>
          <t>People Like Us</t>
        </is>
      </c>
      <c r="C41" t="inlineStr">
        <is>
          <t>Latvia</t>
        </is>
      </c>
      <c r="D41" t="inlineStr">
        <is>
          <t>February 24th, 2023</t>
        </is>
      </c>
      <c r="E41" t="inlineStr">
        <is>
          <t>24.02.2023</t>
        </is>
      </c>
      <c r="F41" s="3" t="n">
        <v>5063248384276</v>
      </c>
      <c r="G41" t="inlineStr">
        <is>
          <t>GX89G2393214</t>
        </is>
      </c>
      <c r="H41" t="inlineStr">
        <is>
          <t>Lo-Fi</t>
        </is>
      </c>
      <c r="I41" t="inlineStr">
        <is>
          <t>2</t>
        </is>
      </c>
      <c r="J41" t="inlineStr">
        <is>
          <t>42</t>
        </is>
      </c>
      <c r="K41" t="inlineStr">
        <is>
          <t>https://soundcloud.com/floatingbluerecords/jerry-of-everything-arnold-stone-people-like-us/s-gp0FUVnF0zM?si=57d5699309ee47bea6de9e70173ff83e&amp;utm_source=clipboard&amp;utm_medium=text&amp;utm_campaign=social_sharing</t>
        </is>
      </c>
      <c r="L41" t="inlineStr">
        <is>
          <t>Floating Blue Records</t>
        </is>
      </c>
      <c r="M41" t="n">
        <v>2</v>
      </c>
      <c r="N41" t="inlineStr">
        <is>
          <t>Radio</t>
        </is>
      </c>
      <c r="AV41" s="11" t="n">
        <v>5</v>
      </c>
      <c r="AW41" s="14" t="inlineStr">
        <is>
          <t>EDM</t>
        </is>
      </c>
      <c r="AX41" s="15" t="inlineStr">
        <is>
          <t>teamed up with Second, Third, Forth, and Fifthto deliver this energetic tune called ''''! Song would perfectly fit in any dance mood playlist! Label will invest up to 5000 EUR advertising on facebook and instagram ads aswell as promoting it over label and label partners playlists, radio stations and press.</t>
        </is>
      </c>
      <c r="AY41">
        <f>+_xlfn.TEXTBEFORE(text_list[[#This Row],[Text]],"''''!",,0)</f>
        <v/>
      </c>
      <c r="AZ41">
        <f>+_xlfn.TEXTBEFORE(_xlfn.TEXTAFTER(text_list[[#This Row],[Text]],"'''!"),"Label")</f>
        <v/>
      </c>
      <c r="BA41">
        <f>+_xlfn.TEXTAFTER(text_list[[#This Row],[Text]],text_list[[#This Row],[Type based on genre]])</f>
        <v/>
      </c>
      <c r="BE41" t="inlineStr">
        <is>
          <t>**Spain**</t>
        </is>
      </c>
      <c r="BF41" t="inlineStr">
        <is>
          <t>Brazilian Bass</t>
        </is>
      </c>
      <c r="BG41">
        <f>+RAND()</f>
        <v/>
      </c>
      <c r="BO41" t="inlineStr">
        <is>
          <t>**Spain**</t>
        </is>
      </c>
      <c r="BP41" t="inlineStr">
        <is>
          <t>Slap House</t>
        </is>
      </c>
      <c r="BQ41">
        <f>+RAND()</f>
        <v/>
      </c>
    </row>
    <row r="42">
      <c r="A42" t="inlineStr">
        <is>
          <t>Jerry Of Everything, Arnold Stone</t>
        </is>
      </c>
      <c r="B42" t="inlineStr">
        <is>
          <t>People Like Us</t>
        </is>
      </c>
      <c r="C42" t="inlineStr">
        <is>
          <t>Latvia</t>
        </is>
      </c>
      <c r="D42" t="inlineStr">
        <is>
          <t>February 24th, 2023</t>
        </is>
      </c>
      <c r="E42" t="inlineStr">
        <is>
          <t>24.02.2023</t>
        </is>
      </c>
      <c r="F42" s="3" t="n">
        <v>5063248384276</v>
      </c>
      <c r="G42" t="inlineStr">
        <is>
          <t>GX89G2393214</t>
        </is>
      </c>
      <c r="H42" t="inlineStr">
        <is>
          <t>Lo-Fi</t>
        </is>
      </c>
      <c r="I42" t="inlineStr">
        <is>
          <t>2</t>
        </is>
      </c>
      <c r="J42" t="inlineStr">
        <is>
          <t>42</t>
        </is>
      </c>
      <c r="K42" t="inlineStr">
        <is>
          <t>https://soundcloud.com/floatingbluerecords/jerry-of-everything-arnold-stone-people-like-us/s-gp0FUVnF0zM?si=57d5699309ee47bea6de9e70173ff83e&amp;utm_source=clipboard&amp;utm_medium=text&amp;utm_campaign=social_sharing</t>
        </is>
      </c>
      <c r="L42" t="inlineStr">
        <is>
          <t>Floating Blue Records</t>
        </is>
      </c>
      <c r="M42" t="n">
        <v>2</v>
      </c>
      <c r="N42" t="inlineStr">
        <is>
          <t>Radio</t>
        </is>
      </c>
      <c r="BE42" t="inlineStr">
        <is>
          <t>**Australia**</t>
        </is>
      </c>
      <c r="BF42" t="inlineStr">
        <is>
          <t>Brazilian Bass</t>
        </is>
      </c>
      <c r="BG42">
        <f>+RAND()</f>
        <v/>
      </c>
      <c r="BO42" t="inlineStr">
        <is>
          <t>**Australia**</t>
        </is>
      </c>
      <c r="BP42" t="inlineStr">
        <is>
          <t>Slap House</t>
        </is>
      </c>
      <c r="BQ42">
        <f>+RAND()</f>
        <v/>
      </c>
    </row>
    <row r="43">
      <c r="A43" t="inlineStr">
        <is>
          <t>Jerry Of Everything, Arnold Stone</t>
        </is>
      </c>
      <c r="B43" t="inlineStr">
        <is>
          <t>People Like Us</t>
        </is>
      </c>
      <c r="C43" t="inlineStr">
        <is>
          <t>Latvia</t>
        </is>
      </c>
      <c r="D43" t="inlineStr">
        <is>
          <t>February 24th, 2023</t>
        </is>
      </c>
      <c r="E43" t="inlineStr">
        <is>
          <t>24.02.2023</t>
        </is>
      </c>
      <c r="F43" s="3" t="n">
        <v>5063248384276</v>
      </c>
      <c r="G43" t="inlineStr">
        <is>
          <t>GX89G2393214</t>
        </is>
      </c>
      <c r="H43" t="inlineStr">
        <is>
          <t>Lo-Fi</t>
        </is>
      </c>
      <c r="I43" t="inlineStr">
        <is>
          <t>2</t>
        </is>
      </c>
      <c r="J43" t="inlineStr">
        <is>
          <t>42</t>
        </is>
      </c>
      <c r="K43" t="inlineStr">
        <is>
          <t>https://soundcloud.com/floatingbluerecords/jerry-of-everything-arnold-stone-people-like-us/s-gp0FUVnF0zM?si=57d5699309ee47bea6de9e70173ff83e&amp;utm_source=clipboard&amp;utm_medium=text&amp;utm_campaign=social_sharing</t>
        </is>
      </c>
      <c r="L43" t="inlineStr">
        <is>
          <t>Floating Blue Records</t>
        </is>
      </c>
      <c r="M43" t="n">
        <v>2</v>
      </c>
      <c r="N43" t="inlineStr">
        <is>
          <t>Radio</t>
        </is>
      </c>
      <c r="BE43" t="inlineStr">
        <is>
          <t>**Colombia**</t>
        </is>
      </c>
      <c r="BF43" t="inlineStr">
        <is>
          <t>Brazilian Bass</t>
        </is>
      </c>
      <c r="BG43">
        <f>+RAND()</f>
        <v/>
      </c>
      <c r="BO43" t="inlineStr">
        <is>
          <t>**Colombia**</t>
        </is>
      </c>
      <c r="BP43" t="inlineStr">
        <is>
          <t>Slap House</t>
        </is>
      </c>
      <c r="BQ43">
        <f>+RAND()</f>
        <v/>
      </c>
    </row>
    <row r="44">
      <c r="A44" t="inlineStr">
        <is>
          <t>Jerry Of Everything, Arnold Stone</t>
        </is>
      </c>
      <c r="B44" t="inlineStr">
        <is>
          <t>People Like Us</t>
        </is>
      </c>
      <c r="C44" t="inlineStr">
        <is>
          <t>Latvia</t>
        </is>
      </c>
      <c r="D44" t="inlineStr">
        <is>
          <t>February 24th, 2023</t>
        </is>
      </c>
      <c r="E44" t="inlineStr">
        <is>
          <t>24.02.2023</t>
        </is>
      </c>
      <c r="F44" s="3" t="n">
        <v>5063248384276</v>
      </c>
      <c r="G44" t="inlineStr">
        <is>
          <t>GX89G2393214</t>
        </is>
      </c>
      <c r="H44" t="inlineStr">
        <is>
          <t>Lo-Fi</t>
        </is>
      </c>
      <c r="I44" t="inlineStr">
        <is>
          <t>2</t>
        </is>
      </c>
      <c r="J44" t="inlineStr">
        <is>
          <t>42</t>
        </is>
      </c>
      <c r="K44" t="inlineStr">
        <is>
          <t>https://soundcloud.com/floatingbluerecords/jerry-of-everything-arnold-stone-people-like-us/s-gp0FUVnF0zM?si=57d5699309ee47bea6de9e70173ff83e&amp;utm_source=clipboard&amp;utm_medium=text&amp;utm_campaign=social_sharing</t>
        </is>
      </c>
      <c r="L44" t="inlineStr">
        <is>
          <t>Floating Blue Records</t>
        </is>
      </c>
      <c r="M44" t="n">
        <v>2</v>
      </c>
      <c r="N44" t="inlineStr">
        <is>
          <t>Radio</t>
        </is>
      </c>
      <c r="BE44" t="inlineStr">
        <is>
          <t>**Chile**</t>
        </is>
      </c>
      <c r="BF44" t="inlineStr">
        <is>
          <t>Brazilian Bass</t>
        </is>
      </c>
      <c r="BG44">
        <f>+RAND()</f>
        <v/>
      </c>
      <c r="BO44" t="inlineStr">
        <is>
          <t>**Chile**</t>
        </is>
      </c>
      <c r="BP44" t="inlineStr">
        <is>
          <t>Slap House</t>
        </is>
      </c>
      <c r="BQ44">
        <f>+RAND()</f>
        <v/>
      </c>
    </row>
    <row r="45">
      <c r="A45" t="inlineStr">
        <is>
          <t>Jerry Of Everything, Arnold Stone</t>
        </is>
      </c>
      <c r="B45" t="inlineStr">
        <is>
          <t>People Like Us</t>
        </is>
      </c>
      <c r="C45" t="inlineStr">
        <is>
          <t>Latvia</t>
        </is>
      </c>
      <c r="D45" t="inlineStr">
        <is>
          <t>February 24th, 2023</t>
        </is>
      </c>
      <c r="E45" t="inlineStr">
        <is>
          <t>24.02.2023</t>
        </is>
      </c>
      <c r="F45" s="3" t="n">
        <v>5063248384276</v>
      </c>
      <c r="G45" t="inlineStr">
        <is>
          <t>GX89G2393214</t>
        </is>
      </c>
      <c r="H45" t="inlineStr">
        <is>
          <t>Lo-Fi</t>
        </is>
      </c>
      <c r="I45" t="inlineStr">
        <is>
          <t>2</t>
        </is>
      </c>
      <c r="J45" t="inlineStr">
        <is>
          <t>42</t>
        </is>
      </c>
      <c r="K45" t="inlineStr">
        <is>
          <t>https://soundcloud.com/floatingbluerecords/jerry-of-everything-arnold-stone-people-like-us/s-gp0FUVnF0zM?si=57d5699309ee47bea6de9e70173ff83e&amp;utm_source=clipboard&amp;utm_medium=text&amp;utm_campaign=social_sharing</t>
        </is>
      </c>
      <c r="L45" t="inlineStr">
        <is>
          <t>Floating Blue Records</t>
        </is>
      </c>
      <c r="M45" t="n">
        <v>2</v>
      </c>
      <c r="N45" t="inlineStr">
        <is>
          <t>Radio</t>
        </is>
      </c>
      <c r="BE45" t="inlineStr">
        <is>
          <t>**Japan**</t>
        </is>
      </c>
      <c r="BF45" t="inlineStr">
        <is>
          <t>Brazilian Bass</t>
        </is>
      </c>
      <c r="BG45">
        <f>+RAND()</f>
        <v/>
      </c>
      <c r="BO45" t="inlineStr">
        <is>
          <t>**Japan**</t>
        </is>
      </c>
      <c r="BP45" t="inlineStr">
        <is>
          <t>Slap House</t>
        </is>
      </c>
      <c r="BQ45">
        <f>+RAND()</f>
        <v/>
      </c>
    </row>
    <row r="46">
      <c r="A46" t="inlineStr">
        <is>
          <t>Jerry Of Everything, Arnold Stone</t>
        </is>
      </c>
      <c r="B46" t="inlineStr">
        <is>
          <t>People Like Us</t>
        </is>
      </c>
      <c r="C46" t="inlineStr">
        <is>
          <t>Latvia</t>
        </is>
      </c>
      <c r="D46" t="inlineStr">
        <is>
          <t>February 24th, 2023</t>
        </is>
      </c>
      <c r="E46" t="inlineStr">
        <is>
          <t>24.02.2023</t>
        </is>
      </c>
      <c r="F46" s="3" t="n">
        <v>5063248384276</v>
      </c>
      <c r="G46" t="inlineStr">
        <is>
          <t>GX89G2393214</t>
        </is>
      </c>
      <c r="H46" t="inlineStr">
        <is>
          <t>Lo-Fi</t>
        </is>
      </c>
      <c r="I46" t="inlineStr">
        <is>
          <t>2</t>
        </is>
      </c>
      <c r="J46" t="inlineStr">
        <is>
          <t>42</t>
        </is>
      </c>
      <c r="K46" t="inlineStr">
        <is>
          <t>https://soundcloud.com/floatingbluerecords/jerry-of-everything-arnold-stone-people-like-us/s-gp0FUVnF0zM?si=57d5699309ee47bea6de9e70173ff83e&amp;utm_source=clipboard&amp;utm_medium=text&amp;utm_campaign=social_sharing</t>
        </is>
      </c>
      <c r="L46" t="inlineStr">
        <is>
          <t>Floating Blue Records</t>
        </is>
      </c>
      <c r="M46" t="n">
        <v>2</v>
      </c>
      <c r="N46" t="inlineStr">
        <is>
          <t>Radio</t>
        </is>
      </c>
    </row>
    <row r="47">
      <c r="A47" t="inlineStr">
        <is>
          <t>Jerry Of Everything, Arnold Stone</t>
        </is>
      </c>
      <c r="B47" t="inlineStr">
        <is>
          <t>People Like Us</t>
        </is>
      </c>
      <c r="C47" t="inlineStr">
        <is>
          <t>Latvia</t>
        </is>
      </c>
      <c r="D47" t="inlineStr">
        <is>
          <t>February 24th, 2023</t>
        </is>
      </c>
      <c r="E47" t="inlineStr">
        <is>
          <t>24.02.2023</t>
        </is>
      </c>
      <c r="F47" s="3" t="n">
        <v>5063248384276</v>
      </c>
      <c r="G47" t="inlineStr">
        <is>
          <t>GX89G2393214</t>
        </is>
      </c>
      <c r="H47" t="inlineStr">
        <is>
          <t>Lo-Fi</t>
        </is>
      </c>
      <c r="I47" t="inlineStr">
        <is>
          <t>2</t>
        </is>
      </c>
      <c r="J47" t="inlineStr">
        <is>
          <t>42</t>
        </is>
      </c>
      <c r="K47" t="inlineStr">
        <is>
          <t>https://soundcloud.com/floatingbluerecords/jerry-of-everything-arnold-stone-people-like-us/s-gp0FUVnF0zM?si=57d5699309ee47bea6de9e70173ff83e&amp;utm_source=clipboard&amp;utm_medium=text&amp;utm_campaign=social_sharing</t>
        </is>
      </c>
      <c r="L47" t="inlineStr">
        <is>
          <t>Floating Blue Records</t>
        </is>
      </c>
      <c r="M47" t="n">
        <v>2</v>
      </c>
      <c r="N47" t="inlineStr">
        <is>
          <t>Radio</t>
        </is>
      </c>
    </row>
    <row r="48">
      <c r="A48" t="inlineStr">
        <is>
          <t>Jerry Of Everything, Arnold Stone</t>
        </is>
      </c>
      <c r="B48" t="inlineStr">
        <is>
          <t>People Like Us</t>
        </is>
      </c>
      <c r="C48" t="inlineStr">
        <is>
          <t>Latvia</t>
        </is>
      </c>
      <c r="D48" t="inlineStr">
        <is>
          <t>February 24th, 2023</t>
        </is>
      </c>
      <c r="E48" t="inlineStr">
        <is>
          <t>24.02.2023</t>
        </is>
      </c>
      <c r="F48" s="3" t="n">
        <v>5063248384276</v>
      </c>
      <c r="G48" t="inlineStr">
        <is>
          <t>GX89G2393214</t>
        </is>
      </c>
      <c r="H48" t="inlineStr">
        <is>
          <t>Lo-Fi</t>
        </is>
      </c>
      <c r="I48" t="inlineStr">
        <is>
          <t>2</t>
        </is>
      </c>
      <c r="J48" t="inlineStr">
        <is>
          <t>42</t>
        </is>
      </c>
      <c r="K48" t="inlineStr">
        <is>
          <t>https://soundcloud.com/floatingbluerecords/jerry-of-everything-arnold-stone-people-like-us/s-gp0FUVnF0zM?si=57d5699309ee47bea6de9e70173ff83e&amp;utm_source=clipboard&amp;utm_medium=text&amp;utm_campaign=social_sharing</t>
        </is>
      </c>
      <c r="L48" t="inlineStr">
        <is>
          <t>Floating Blue Records</t>
        </is>
      </c>
      <c r="M48" t="n">
        <v>2</v>
      </c>
      <c r="N48" t="inlineStr">
        <is>
          <t>Radio</t>
        </is>
      </c>
    </row>
    <row r="49">
      <c r="A49" t="inlineStr">
        <is>
          <t>Jerry Of Everything, Arnold Stone</t>
        </is>
      </c>
      <c r="B49" t="inlineStr">
        <is>
          <t>People Like Us</t>
        </is>
      </c>
      <c r="C49" t="inlineStr">
        <is>
          <t>Latvia</t>
        </is>
      </c>
      <c r="D49" t="inlineStr">
        <is>
          <t>February 24th, 2023</t>
        </is>
      </c>
      <c r="E49" t="inlineStr">
        <is>
          <t>24.02.2023</t>
        </is>
      </c>
      <c r="F49" s="3" t="n">
        <v>5063248384276</v>
      </c>
      <c r="G49" t="inlineStr">
        <is>
          <t>GX89G2393214</t>
        </is>
      </c>
      <c r="H49" t="inlineStr">
        <is>
          <t>Lo-Fi</t>
        </is>
      </c>
      <c r="I49" t="inlineStr">
        <is>
          <t>2</t>
        </is>
      </c>
      <c r="J49" t="inlineStr">
        <is>
          <t>42</t>
        </is>
      </c>
      <c r="K49" t="inlineStr">
        <is>
          <t>https://soundcloud.com/floatingbluerecords/jerry-of-everything-arnold-stone-people-like-us/s-gp0FUVnF0zM?si=57d5699309ee47bea6de9e70173ff83e&amp;utm_source=clipboard&amp;utm_medium=text&amp;utm_campaign=social_sharing</t>
        </is>
      </c>
      <c r="L49" t="inlineStr">
        <is>
          <t>Floating Blue Records</t>
        </is>
      </c>
      <c r="M49" t="n">
        <v>2</v>
      </c>
      <c r="N49" t="inlineStr">
        <is>
          <t>Radio</t>
        </is>
      </c>
    </row>
    <row r="50">
      <c r="A50" t="inlineStr">
        <is>
          <t>Jerry Of Everything, Arnold Stone</t>
        </is>
      </c>
      <c r="B50" t="inlineStr">
        <is>
          <t>People Like Us</t>
        </is>
      </c>
      <c r="C50" t="inlineStr">
        <is>
          <t>Latvia</t>
        </is>
      </c>
      <c r="D50" t="inlineStr">
        <is>
          <t>February 24th, 2023</t>
        </is>
      </c>
      <c r="E50" t="inlineStr">
        <is>
          <t>24.02.2023</t>
        </is>
      </c>
      <c r="F50" s="3" t="n">
        <v>5063248384276</v>
      </c>
      <c r="G50" t="inlineStr">
        <is>
          <t>GX89G2393214</t>
        </is>
      </c>
      <c r="H50" t="inlineStr">
        <is>
          <t>Lo-Fi</t>
        </is>
      </c>
      <c r="I50" t="inlineStr">
        <is>
          <t>2</t>
        </is>
      </c>
      <c r="J50" t="inlineStr">
        <is>
          <t>42</t>
        </is>
      </c>
      <c r="K50" t="inlineStr">
        <is>
          <t>https://soundcloud.com/floatingbluerecords/jerry-of-everything-arnold-stone-people-like-us/s-gp0FUVnF0zM?si=57d5699309ee47bea6de9e70173ff83e&amp;utm_source=clipboard&amp;utm_medium=text&amp;utm_campaign=social_sharing</t>
        </is>
      </c>
      <c r="L50" t="inlineStr">
        <is>
          <t>Floating Blue Records</t>
        </is>
      </c>
      <c r="M50" t="n">
        <v>2</v>
      </c>
      <c r="N50" t="inlineStr">
        <is>
          <t>Radio</t>
        </is>
      </c>
      <c r="BI50" t="inlineStr">
        <is>
          <t>Genre</t>
        </is>
      </c>
      <c r="BJ50" t="inlineStr">
        <is>
          <t>rand</t>
        </is>
      </c>
      <c r="BK50" t="inlineStr">
        <is>
          <t>country</t>
        </is>
      </c>
      <c r="BL50" t="inlineStr">
        <is>
          <t>1* rand</t>
        </is>
      </c>
      <c r="BM50" t="inlineStr">
        <is>
          <t>min</t>
        </is>
      </c>
      <c r="BN50" t="inlineStr">
        <is>
          <t>MIN+1</t>
        </is>
      </c>
      <c r="BO50" t="inlineStr">
        <is>
          <t>MIN+2</t>
        </is>
      </c>
      <c r="BP50" t="inlineStr">
        <is>
          <t>min+3</t>
        </is>
      </c>
      <c r="BQ50" t="inlineStr">
        <is>
          <t>min+4</t>
        </is>
      </c>
      <c r="BR50" t="inlineStr">
        <is>
          <t>min+5</t>
        </is>
      </c>
      <c r="BS50" t="inlineStr">
        <is>
          <t>min+6</t>
        </is>
      </c>
      <c r="BT50" t="inlineStr">
        <is>
          <t>min+7</t>
        </is>
      </c>
      <c r="BU50" t="inlineStr">
        <is>
          <t>min+8</t>
        </is>
      </c>
      <c r="BV50" t="inlineStr">
        <is>
          <t>min+9</t>
        </is>
      </c>
    </row>
    <row r="51">
      <c r="A51" t="inlineStr">
        <is>
          <t>Domenique Sky, Linreng</t>
        </is>
      </c>
      <c r="B51" t="inlineStr">
        <is>
          <t>Deep End</t>
        </is>
      </c>
      <c r="C51" t="inlineStr">
        <is>
          <t>Latvia</t>
        </is>
      </c>
      <c r="D51" t="inlineStr">
        <is>
          <t>February 17th, 2023</t>
        </is>
      </c>
      <c r="E51" t="inlineStr">
        <is>
          <t>17.02.2023</t>
        </is>
      </c>
      <c r="F51" s="3" t="n">
        <v>5063212022135</v>
      </c>
      <c r="G51" t="inlineStr">
        <is>
          <t>GX89G2317897</t>
        </is>
      </c>
      <c r="H51" t="inlineStr">
        <is>
          <t>Lo-Fi</t>
        </is>
      </c>
      <c r="I51" t="inlineStr">
        <is>
          <t>2</t>
        </is>
      </c>
      <c r="J51" t="inlineStr">
        <is>
          <t>18</t>
        </is>
      </c>
      <c r="K51" t="inlineStr">
        <is>
          <t>https://soundcloud.com/floatingbluerecords/domenique-sky-linreng-deep-end/s-lppEhii1MZf?si=1c79d404431b4b35a32f01ed5a081104&amp;utm_source=clipboard&amp;utm_medium=text&amp;utm_campaign=social_sharing</t>
        </is>
      </c>
      <c r="L51" t="inlineStr">
        <is>
          <t>Floating Blue Records</t>
        </is>
      </c>
      <c r="M51" t="n">
        <v>2</v>
      </c>
      <c r="N51" t="inlineStr">
        <is>
          <t>Radio</t>
        </is>
      </c>
      <c r="BI51" t="inlineStr">
        <is>
          <t>Deep House</t>
        </is>
      </c>
      <c r="BJ51" t="inlineStr">
        <is>
          <t>deep_country[rand]</t>
        </is>
      </c>
      <c r="BK51" t="inlineStr">
        <is>
          <t>deep_country[country]</t>
        </is>
      </c>
      <c r="BL51">
        <f>+map_country[[#This Row],[rand]]</f>
        <v/>
      </c>
      <c r="BM51">
        <f>"R"&amp;ROW(BG21)&amp;"C"&amp;COLUMN(BG21)</f>
        <v/>
      </c>
      <c r="BN51">
        <f>+SUBSTITUTE(map_country[[#This Row],[min]],MID(map_country[[#This Row],[min]],2,2),MID(map_country[[#This Row],[min]],2,2)+1)</f>
        <v/>
      </c>
      <c r="BO51">
        <f>+SUBSTITUTE(map_country[[#This Row],[min]],MID(map_country[[#This Row],[min]],2,2),MID(map_country[[#This Row],[min]],2,2)+2)</f>
        <v/>
      </c>
      <c r="BP51">
        <f>+SUBSTITUTE(map_country[[#This Row],[min]],MID(map_country[[#This Row],[min]],2,2),MID(map_country[[#This Row],[min]],2,2)+3)</f>
        <v/>
      </c>
      <c r="BQ51">
        <f>+SUBSTITUTE(map_country[[#This Row],[min]],MID(map_country[[#This Row],[min]],2,2),MID(map_country[[#This Row],[min]],2,2)+4)</f>
        <v/>
      </c>
      <c r="BR51">
        <f>+SUBSTITUTE(map_country[[#This Row],[min]],MID(map_country[[#This Row],[min]],2,2),MID(map_country[[#This Row],[min]],2,2)+5)</f>
        <v/>
      </c>
      <c r="BS51">
        <f>+SUBSTITUTE(map_country[[#This Row],[min]],MID(map_country[[#This Row],[min]],2,2),MID(map_country[[#This Row],[min]],2,2)+6)</f>
        <v/>
      </c>
      <c r="BT51">
        <f>+SUBSTITUTE(map_country[[#This Row],[min]],MID(map_country[[#This Row],[min]],2,2),MID(map_country[[#This Row],[min]],2,2)+7)</f>
        <v/>
      </c>
      <c r="BU51">
        <f>+SUBSTITUTE(map_country[[#This Row],[min]],MID(map_country[[#This Row],[min]],2,2),MID(map_country[[#This Row],[min]],2,2)+8)</f>
        <v/>
      </c>
      <c r="BV51">
        <f>+SUBSTITUTE(map_country[[#This Row],[min]],MID(map_country[[#This Row],[min]],2,2),MID(map_country[[#This Row],[min]],2,2)+9)</f>
        <v/>
      </c>
    </row>
    <row r="52">
      <c r="A52" t="inlineStr">
        <is>
          <t>Domenique Sky, Linreng</t>
        </is>
      </c>
      <c r="B52" t="inlineStr">
        <is>
          <t>Deep End</t>
        </is>
      </c>
      <c r="C52" t="inlineStr">
        <is>
          <t>Latvia</t>
        </is>
      </c>
      <c r="D52" t="inlineStr">
        <is>
          <t>February 17th, 2023</t>
        </is>
      </c>
      <c r="E52" t="inlineStr">
        <is>
          <t>17.02.2023</t>
        </is>
      </c>
      <c r="F52" s="3" t="n">
        <v>5063212022135</v>
      </c>
      <c r="G52" t="inlineStr">
        <is>
          <t>GX89G2317897</t>
        </is>
      </c>
      <c r="H52" t="inlineStr">
        <is>
          <t>Lo-Fi</t>
        </is>
      </c>
      <c r="I52" t="inlineStr">
        <is>
          <t>2</t>
        </is>
      </c>
      <c r="J52" t="inlineStr">
        <is>
          <t>18</t>
        </is>
      </c>
      <c r="K52" t="inlineStr">
        <is>
          <t>https://soundcloud.com/floatingbluerecords/domenique-sky-linreng-deep-end/s-lppEhii1MZf?si=1c79d404431b4b35a32f01ed5a081104&amp;utm_source=clipboard&amp;utm_medium=text&amp;utm_campaign=social_sharing</t>
        </is>
      </c>
      <c r="L52" t="inlineStr">
        <is>
          <t>Floating Blue Records</t>
        </is>
      </c>
      <c r="M52" t="n">
        <v>2</v>
      </c>
      <c r="N52" t="inlineStr">
        <is>
          <t>Radio</t>
        </is>
      </c>
      <c r="BI52" t="inlineStr">
        <is>
          <t>Tech House</t>
        </is>
      </c>
      <c r="BJ52" t="inlineStr">
        <is>
          <t>tech_country[rand]</t>
        </is>
      </c>
      <c r="BK52" t="inlineStr">
        <is>
          <t>tech_country[country]</t>
        </is>
      </c>
      <c r="BL52">
        <f>+map_country[[#This Row],[rand]]</f>
        <v/>
      </c>
      <c r="BM52">
        <f>"R"&amp;ROW(BL21)&amp;"C"&amp;COLUMN(BL21)</f>
        <v/>
      </c>
      <c r="BN52">
        <f>+SUBSTITUTE(map_country[[#This Row],[min]],MID(map_country[[#This Row],[min]],2,2),MID(map_country[[#This Row],[min]],2,2)+1)</f>
        <v/>
      </c>
      <c r="BO52">
        <f>+SUBSTITUTE(map_country[[#This Row],[min]],MID(map_country[[#This Row],[min]],2,2),MID(map_country[[#This Row],[min]],2,2)+2)</f>
        <v/>
      </c>
      <c r="BP52">
        <f>+SUBSTITUTE(map_country[[#This Row],[min]],MID(map_country[[#This Row],[min]],2,2),MID(map_country[[#This Row],[min]],2,2)+3)</f>
        <v/>
      </c>
      <c r="BQ52">
        <f>+SUBSTITUTE(map_country[[#This Row],[min]],MID(map_country[[#This Row],[min]],2,2),MID(map_country[[#This Row],[min]],2,2)+4)</f>
        <v/>
      </c>
      <c r="BR52">
        <f>+SUBSTITUTE(map_country[[#This Row],[min]],MID(map_country[[#This Row],[min]],2,2),MID(map_country[[#This Row],[min]],2,2)+5)</f>
        <v/>
      </c>
      <c r="BS52">
        <f>+SUBSTITUTE(map_country[[#This Row],[min]],MID(map_country[[#This Row],[min]],2,2),MID(map_country[[#This Row],[min]],2,2)+6)</f>
        <v/>
      </c>
      <c r="BT52">
        <f>+SUBSTITUTE(map_country[[#This Row],[min]],MID(map_country[[#This Row],[min]],2,2),MID(map_country[[#This Row],[min]],2,2)+7)</f>
        <v/>
      </c>
      <c r="BU52">
        <f>+SUBSTITUTE(map_country[[#This Row],[min]],MID(map_country[[#This Row],[min]],2,2),MID(map_country[[#This Row],[min]],2,2)+8)</f>
        <v/>
      </c>
      <c r="BV52">
        <f>+SUBSTITUTE(map_country[[#This Row],[min]],MID(map_country[[#This Row],[min]],2,2),MID(map_country[[#This Row],[min]],2,2)+9)</f>
        <v/>
      </c>
    </row>
    <row r="53">
      <c r="A53" t="inlineStr">
        <is>
          <t>Domenique Sky, Linreng</t>
        </is>
      </c>
      <c r="B53" t="inlineStr">
        <is>
          <t>Deep End</t>
        </is>
      </c>
      <c r="C53" t="inlineStr">
        <is>
          <t>Latvia</t>
        </is>
      </c>
      <c r="D53" t="inlineStr">
        <is>
          <t>February 17th, 2023</t>
        </is>
      </c>
      <c r="E53" t="inlineStr">
        <is>
          <t>17.02.2023</t>
        </is>
      </c>
      <c r="F53" s="3" t="n">
        <v>5063212022135</v>
      </c>
      <c r="G53" t="inlineStr">
        <is>
          <t>GX89G2317897</t>
        </is>
      </c>
      <c r="H53" t="inlineStr">
        <is>
          <t>Lo-Fi</t>
        </is>
      </c>
      <c r="I53" t="inlineStr">
        <is>
          <t>2</t>
        </is>
      </c>
      <c r="J53" t="inlineStr">
        <is>
          <t>18</t>
        </is>
      </c>
      <c r="K53" t="inlineStr">
        <is>
          <t>https://soundcloud.com/floatingbluerecords/domenique-sky-linreng-deep-end/s-lppEhii1MZf?si=1c79d404431b4b35a32f01ed5a081104&amp;utm_source=clipboard&amp;utm_medium=text&amp;utm_campaign=social_sharing</t>
        </is>
      </c>
      <c r="L53" t="inlineStr">
        <is>
          <t>Floating Blue Records</t>
        </is>
      </c>
      <c r="M53" t="n">
        <v>2</v>
      </c>
      <c r="N53" t="inlineStr">
        <is>
          <t>Radio</t>
        </is>
      </c>
      <c r="BI53" t="inlineStr">
        <is>
          <t>Piano House</t>
        </is>
      </c>
      <c r="BJ53" t="inlineStr">
        <is>
          <t>piano_country[rand]</t>
        </is>
      </c>
      <c r="BK53" t="inlineStr">
        <is>
          <t>piano_country[country]</t>
        </is>
      </c>
      <c r="BL53">
        <f>+map_country[[#This Row],[rand]]</f>
        <v/>
      </c>
      <c r="BM53">
        <f>"R"&amp;ROW(BP21)&amp;"C"&amp;COLUMN(BP21)</f>
        <v/>
      </c>
      <c r="BN53">
        <f>+SUBSTITUTE(map_country[[#This Row],[min]],MID(map_country[[#This Row],[min]],2,2),MID(map_country[[#This Row],[min]],2,2)+1)</f>
        <v/>
      </c>
      <c r="BO53">
        <f>+SUBSTITUTE(map_country[[#This Row],[min]],MID(map_country[[#This Row],[min]],2,2),MID(map_country[[#This Row],[min]],2,2)+2)</f>
        <v/>
      </c>
      <c r="BP53">
        <f>+SUBSTITUTE(map_country[[#This Row],[min]],MID(map_country[[#This Row],[min]],2,2),MID(map_country[[#This Row],[min]],2,2)+3)</f>
        <v/>
      </c>
      <c r="BQ53">
        <f>+SUBSTITUTE(map_country[[#This Row],[min]],MID(map_country[[#This Row],[min]],2,2),MID(map_country[[#This Row],[min]],2,2)+4)</f>
        <v/>
      </c>
      <c r="BR53">
        <f>+SUBSTITUTE(map_country[[#This Row],[min]],MID(map_country[[#This Row],[min]],2,2),MID(map_country[[#This Row],[min]],2,2)+5)</f>
        <v/>
      </c>
      <c r="BS53">
        <f>+SUBSTITUTE(map_country[[#This Row],[min]],MID(map_country[[#This Row],[min]],2,2),MID(map_country[[#This Row],[min]],2,2)+6)</f>
        <v/>
      </c>
      <c r="BT53">
        <f>+SUBSTITUTE(map_country[[#This Row],[min]],MID(map_country[[#This Row],[min]],2,2),MID(map_country[[#This Row],[min]],2,2)+7)</f>
        <v/>
      </c>
      <c r="BU53">
        <f>+SUBSTITUTE(map_country[[#This Row],[min]],MID(map_country[[#This Row],[min]],2,2),MID(map_country[[#This Row],[min]],2,2)+8)</f>
        <v/>
      </c>
      <c r="BV53">
        <f>+SUBSTITUTE(map_country[[#This Row],[min]],MID(map_country[[#This Row],[min]],2,2),MID(map_country[[#This Row],[min]],2,2)+9)</f>
        <v/>
      </c>
    </row>
    <row r="54">
      <c r="A54" t="inlineStr">
        <is>
          <t>Domenique Sky, Linreng</t>
        </is>
      </c>
      <c r="B54" t="inlineStr">
        <is>
          <t>Deep End</t>
        </is>
      </c>
      <c r="C54" t="inlineStr">
        <is>
          <t>Latvia</t>
        </is>
      </c>
      <c r="D54" t="inlineStr">
        <is>
          <t>February 17th, 2023</t>
        </is>
      </c>
      <c r="E54" t="inlineStr">
        <is>
          <t>17.02.2023</t>
        </is>
      </c>
      <c r="F54" s="3" t="n">
        <v>5063212022135</v>
      </c>
      <c r="G54" t="inlineStr">
        <is>
          <t>GX89G2317897</t>
        </is>
      </c>
      <c r="H54" t="inlineStr">
        <is>
          <t>Lo-Fi</t>
        </is>
      </c>
      <c r="I54" t="inlineStr">
        <is>
          <t>2</t>
        </is>
      </c>
      <c r="J54" t="inlineStr">
        <is>
          <t>18</t>
        </is>
      </c>
      <c r="K54" t="inlineStr">
        <is>
          <t>https://soundcloud.com/floatingbluerecords/domenique-sky-linreng-deep-end/s-lppEhii1MZf?si=1c79d404431b4b35a32f01ed5a081104&amp;utm_source=clipboard&amp;utm_medium=text&amp;utm_campaign=social_sharing</t>
        </is>
      </c>
      <c r="L54" t="inlineStr">
        <is>
          <t>Floating Blue Records</t>
        </is>
      </c>
      <c r="M54" t="n">
        <v>2</v>
      </c>
      <c r="N54" t="inlineStr">
        <is>
          <t>Radio</t>
        </is>
      </c>
      <c r="BI54" t="inlineStr">
        <is>
          <t>Indie/Chill Dance</t>
        </is>
      </c>
      <c r="BJ54" t="inlineStr">
        <is>
          <t>indie_country[rand]</t>
        </is>
      </c>
      <c r="BK54" t="inlineStr">
        <is>
          <t>indie_country[country]</t>
        </is>
      </c>
      <c r="BL54">
        <f>+map_country[[#This Row],[rand]]</f>
        <v/>
      </c>
      <c r="BM54">
        <f>"R"&amp;ROW(BT21)&amp;"C"&amp;COLUMN(BT21)</f>
        <v/>
      </c>
      <c r="BN54">
        <f>+SUBSTITUTE(map_country[[#This Row],[min]],MID(map_country[[#This Row],[min]],2,2),MID(map_country[[#This Row],[min]],2,2)+1)</f>
        <v/>
      </c>
      <c r="BO54">
        <f>+SUBSTITUTE(map_country[[#This Row],[min]],MID(map_country[[#This Row],[min]],2,2),MID(map_country[[#This Row],[min]],2,2)+2)</f>
        <v/>
      </c>
      <c r="BP54">
        <f>+SUBSTITUTE(map_country[[#This Row],[min]],MID(map_country[[#This Row],[min]],2,2),MID(map_country[[#This Row],[min]],2,2)+3)</f>
        <v/>
      </c>
      <c r="BQ54">
        <f>+SUBSTITUTE(map_country[[#This Row],[min]],MID(map_country[[#This Row],[min]],2,2),MID(map_country[[#This Row],[min]],2,2)+4)</f>
        <v/>
      </c>
      <c r="BR54">
        <f>+SUBSTITUTE(map_country[[#This Row],[min]],MID(map_country[[#This Row],[min]],2,2),MID(map_country[[#This Row],[min]],2,2)+5)</f>
        <v/>
      </c>
      <c r="BS54">
        <f>+SUBSTITUTE(map_country[[#This Row],[min]],MID(map_country[[#This Row],[min]],2,2),MID(map_country[[#This Row],[min]],2,2)+6)</f>
        <v/>
      </c>
      <c r="BT54">
        <f>+SUBSTITUTE(map_country[[#This Row],[min]],MID(map_country[[#This Row],[min]],2,2),MID(map_country[[#This Row],[min]],2,2)+7)</f>
        <v/>
      </c>
      <c r="BU54">
        <f>+SUBSTITUTE(map_country[[#This Row],[min]],MID(map_country[[#This Row],[min]],2,2),MID(map_country[[#This Row],[min]],2,2)+8)</f>
        <v/>
      </c>
      <c r="BV54">
        <f>+SUBSTITUTE(map_country[[#This Row],[min]],MID(map_country[[#This Row],[min]],2,2),MID(map_country[[#This Row],[min]],2,2)+9)</f>
        <v/>
      </c>
    </row>
    <row r="55">
      <c r="A55" t="inlineStr">
        <is>
          <t>Domenique Sky, Linreng</t>
        </is>
      </c>
      <c r="B55" t="inlineStr">
        <is>
          <t>Deep End</t>
        </is>
      </c>
      <c r="C55" t="inlineStr">
        <is>
          <t>Latvia</t>
        </is>
      </c>
      <c r="D55" t="inlineStr">
        <is>
          <t>February 17th, 2023</t>
        </is>
      </c>
      <c r="E55" t="inlineStr">
        <is>
          <t>17.02.2023</t>
        </is>
      </c>
      <c r="F55" s="3" t="n">
        <v>5063212022135</v>
      </c>
      <c r="G55" t="inlineStr">
        <is>
          <t>GX89G2317897</t>
        </is>
      </c>
      <c r="H55" t="inlineStr">
        <is>
          <t>Lo-Fi</t>
        </is>
      </c>
      <c r="I55" t="inlineStr">
        <is>
          <t>2</t>
        </is>
      </c>
      <c r="J55" t="inlineStr">
        <is>
          <t>18</t>
        </is>
      </c>
      <c r="K55" t="inlineStr">
        <is>
          <t>https://soundcloud.com/floatingbluerecords/domenique-sky-linreng-deep-end/s-lppEhii1MZf?si=1c79d404431b4b35a32f01ed5a081104&amp;utm_source=clipboard&amp;utm_medium=text&amp;utm_campaign=social_sharing</t>
        </is>
      </c>
      <c r="L55" t="inlineStr">
        <is>
          <t>Floating Blue Records</t>
        </is>
      </c>
      <c r="M55" t="n">
        <v>2</v>
      </c>
      <c r="N55" t="inlineStr">
        <is>
          <t>Radio</t>
        </is>
      </c>
      <c r="BI55" t="inlineStr">
        <is>
          <t>Slap House</t>
        </is>
      </c>
      <c r="BJ55" t="inlineStr">
        <is>
          <t>slap_country[rand]</t>
        </is>
      </c>
      <c r="BK55" t="inlineStr">
        <is>
          <t>slap_country[country]</t>
        </is>
      </c>
      <c r="BL55">
        <f>+map_country[[#This Row],[rand]]</f>
        <v/>
      </c>
      <c r="BM55">
        <f>"R"&amp;ROW(BQ35)&amp;"C"&amp;COLUMN(BQ35)</f>
        <v/>
      </c>
      <c r="BN55">
        <f>+SUBSTITUTE(map_country[[#This Row],[min]],MID(map_country[[#This Row],[min]],2,2),MID(map_country[[#This Row],[min]],2,2)+1)</f>
        <v/>
      </c>
      <c r="BO55">
        <f>+SUBSTITUTE(map_country[[#This Row],[min]],MID(map_country[[#This Row],[min]],2,2),MID(map_country[[#This Row],[min]],2,2)+2)</f>
        <v/>
      </c>
      <c r="BP55">
        <f>+SUBSTITUTE(map_country[[#This Row],[min]],MID(map_country[[#This Row],[min]],2,2),MID(map_country[[#This Row],[min]],2,2)+3)</f>
        <v/>
      </c>
      <c r="BQ55">
        <f>+SUBSTITUTE(map_country[[#This Row],[min]],MID(map_country[[#This Row],[min]],2,2),MID(map_country[[#This Row],[min]],2,2)+4)</f>
        <v/>
      </c>
      <c r="BR55">
        <f>+SUBSTITUTE(map_country[[#This Row],[min]],MID(map_country[[#This Row],[min]],2,2),MID(map_country[[#This Row],[min]],2,2)+5)</f>
        <v/>
      </c>
      <c r="BS55">
        <f>+SUBSTITUTE(map_country[[#This Row],[min]],MID(map_country[[#This Row],[min]],2,2),MID(map_country[[#This Row],[min]],2,2)+6)</f>
        <v/>
      </c>
      <c r="BT55">
        <f>+SUBSTITUTE(map_country[[#This Row],[min]],MID(map_country[[#This Row],[min]],2,2),MID(map_country[[#This Row],[min]],2,2)+7)</f>
        <v/>
      </c>
      <c r="BU55">
        <f>+SUBSTITUTE(map_country[[#This Row],[min]],MID(map_country[[#This Row],[min]],2,2),MID(map_country[[#This Row],[min]],2,2)+8)</f>
        <v/>
      </c>
      <c r="BV55">
        <f>+SUBSTITUTE(map_country[[#This Row],[min]],MID(map_country[[#This Row],[min]],2,2),MID(map_country[[#This Row],[min]],2,2)+9)</f>
        <v/>
      </c>
    </row>
    <row r="56">
      <c r="A56" t="inlineStr">
        <is>
          <t>Domenique Sky, Linreng</t>
        </is>
      </c>
      <c r="B56" t="inlineStr">
        <is>
          <t>Deep End</t>
        </is>
      </c>
      <c r="C56" t="inlineStr">
        <is>
          <t>Latvia</t>
        </is>
      </c>
      <c r="D56" t="inlineStr">
        <is>
          <t>February 17th, 2023</t>
        </is>
      </c>
      <c r="E56" t="inlineStr">
        <is>
          <t>17.02.2023</t>
        </is>
      </c>
      <c r="F56" s="3" t="n">
        <v>5063212022135</v>
      </c>
      <c r="G56" t="inlineStr">
        <is>
          <t>GX89G2317897</t>
        </is>
      </c>
      <c r="H56" t="inlineStr">
        <is>
          <t>Lo-Fi</t>
        </is>
      </c>
      <c r="I56" t="inlineStr">
        <is>
          <t>2</t>
        </is>
      </c>
      <c r="J56" t="inlineStr">
        <is>
          <t>18</t>
        </is>
      </c>
      <c r="K56" t="inlineStr">
        <is>
          <t>https://soundcloud.com/floatingbluerecords/domenique-sky-linreng-deep-end/s-lppEhii1MZf?si=1c79d404431b4b35a32f01ed5a081104&amp;utm_source=clipboard&amp;utm_medium=text&amp;utm_campaign=social_sharing</t>
        </is>
      </c>
      <c r="L56" t="inlineStr">
        <is>
          <t>Floating Blue Records</t>
        </is>
      </c>
      <c r="M56" t="n">
        <v>2</v>
      </c>
      <c r="N56" t="inlineStr">
        <is>
          <t>Radio</t>
        </is>
      </c>
      <c r="BI56" t="inlineStr">
        <is>
          <t>Brazilian Bass</t>
        </is>
      </c>
      <c r="BJ56" t="inlineStr">
        <is>
          <t>brazilian_country[rand]</t>
        </is>
      </c>
      <c r="BK56" t="inlineStr">
        <is>
          <t>brazilian_country[country]</t>
        </is>
      </c>
      <c r="BL56">
        <f>+map_country[[#This Row],[rand]]</f>
        <v/>
      </c>
      <c r="BM56">
        <f>"R"&amp;ROW(BG35)&amp;"C"&amp;COLUMN(BG35)</f>
        <v/>
      </c>
      <c r="BN56">
        <f>+SUBSTITUTE(map_country[[#This Row],[min]],MID(map_country[[#This Row],[min]],2,2),MID(map_country[[#This Row],[min]],2,2)+1)</f>
        <v/>
      </c>
      <c r="BO56">
        <f>+SUBSTITUTE(map_country[[#This Row],[min]],MID(map_country[[#This Row],[min]],2,2),MID(map_country[[#This Row],[min]],2,2)+2)</f>
        <v/>
      </c>
      <c r="BP56">
        <f>+SUBSTITUTE(map_country[[#This Row],[min]],MID(map_country[[#This Row],[min]],2,2),MID(map_country[[#This Row],[min]],2,2)+3)</f>
        <v/>
      </c>
      <c r="BQ56">
        <f>+SUBSTITUTE(map_country[[#This Row],[min]],MID(map_country[[#This Row],[min]],2,2),MID(map_country[[#This Row],[min]],2,2)+4)</f>
        <v/>
      </c>
      <c r="BR56">
        <f>+SUBSTITUTE(map_country[[#This Row],[min]],MID(map_country[[#This Row],[min]],2,2),MID(map_country[[#This Row],[min]],2,2)+5)</f>
        <v/>
      </c>
      <c r="BS56">
        <f>+SUBSTITUTE(map_country[[#This Row],[min]],MID(map_country[[#This Row],[min]],2,2),MID(map_country[[#This Row],[min]],2,2)+6)</f>
        <v/>
      </c>
      <c r="BT56">
        <f>+SUBSTITUTE(map_country[[#This Row],[min]],MID(map_country[[#This Row],[min]],2,2),MID(map_country[[#This Row],[min]],2,2)+7)</f>
        <v/>
      </c>
      <c r="BU56">
        <f>+SUBSTITUTE(map_country[[#This Row],[min]],MID(map_country[[#This Row],[min]],2,2),MID(map_country[[#This Row],[min]],2,2)+8)</f>
        <v/>
      </c>
      <c r="BV56">
        <f>+SUBSTITUTE(map_country[[#This Row],[min]],MID(map_country[[#This Row],[min]],2,2),MID(map_country[[#This Row],[min]],2,2)+9)</f>
        <v/>
      </c>
    </row>
    <row r="57">
      <c r="A57" t="inlineStr">
        <is>
          <t>Domenique Sky, Linreng</t>
        </is>
      </c>
      <c r="B57" t="inlineStr">
        <is>
          <t>Deep End</t>
        </is>
      </c>
      <c r="C57" t="inlineStr">
        <is>
          <t>Latvia</t>
        </is>
      </c>
      <c r="D57" t="inlineStr">
        <is>
          <t>February 17th, 2023</t>
        </is>
      </c>
      <c r="E57" t="inlineStr">
        <is>
          <t>17.02.2023</t>
        </is>
      </c>
      <c r="F57" s="3" t="n">
        <v>5063212022135</v>
      </c>
      <c r="G57" t="inlineStr">
        <is>
          <t>GX89G2317897</t>
        </is>
      </c>
      <c r="H57" t="inlineStr">
        <is>
          <t>Lo-Fi</t>
        </is>
      </c>
      <c r="I57" t="inlineStr">
        <is>
          <t>2</t>
        </is>
      </c>
      <c r="J57" t="inlineStr">
        <is>
          <t>18</t>
        </is>
      </c>
      <c r="K57" t="inlineStr">
        <is>
          <t>https://soundcloud.com/floatingbluerecords/domenique-sky-linreng-deep-end/s-lppEhii1MZf?si=1c79d404431b4b35a32f01ed5a081104&amp;utm_source=clipboard&amp;utm_medium=text&amp;utm_campaign=social_sharing</t>
        </is>
      </c>
      <c r="L57" t="inlineStr">
        <is>
          <t>Floating Blue Records</t>
        </is>
      </c>
      <c r="M57" t="n">
        <v>2</v>
      </c>
      <c r="N57" t="inlineStr">
        <is>
          <t>Radio</t>
        </is>
      </c>
      <c r="BI57" t="inlineStr">
        <is>
          <t>Lo-Fi</t>
        </is>
      </c>
      <c r="BJ57" t="inlineStr">
        <is>
          <t>lo_fi_country[rand]</t>
        </is>
      </c>
      <c r="BK57" t="inlineStr">
        <is>
          <t>lo_fi_country[country]</t>
        </is>
      </c>
      <c r="BL57">
        <f>+map_country[[#This Row],[rand]]</f>
        <v/>
      </c>
      <c r="BM57">
        <f>"R"&amp;ROW(BL35)&amp;"C"&amp;COLUMN(BL35)</f>
        <v/>
      </c>
      <c r="BN57">
        <f>+SUBSTITUTE(map_country[[#This Row],[min]],MID(map_country[[#This Row],[min]],2,2),MID(map_country[[#This Row],[min]],2,2)+1)</f>
        <v/>
      </c>
      <c r="BO57">
        <f>+SUBSTITUTE(map_country[[#This Row],[min]],MID(map_country[[#This Row],[min]],2,2),MID(map_country[[#This Row],[min]],2,2)+2)</f>
        <v/>
      </c>
      <c r="BP57">
        <f>+SUBSTITUTE(map_country[[#This Row],[min]],MID(map_country[[#This Row],[min]],2,2),MID(map_country[[#This Row],[min]],2,2)+3)</f>
        <v/>
      </c>
      <c r="BQ57">
        <f>+SUBSTITUTE(map_country[[#This Row],[min]],MID(map_country[[#This Row],[min]],2,2),MID(map_country[[#This Row],[min]],2,2)+4)</f>
        <v/>
      </c>
      <c r="BR57">
        <f>+SUBSTITUTE(map_country[[#This Row],[min]],MID(map_country[[#This Row],[min]],2,2),MID(map_country[[#This Row],[min]],2,2))</f>
        <v/>
      </c>
      <c r="BS57">
        <f>+SUBSTITUTE(map_country[[#This Row],[min]],MID(map_country[[#This Row],[min]],2,2),MID(map_country[[#This Row],[min]],2,2)+1)</f>
        <v/>
      </c>
      <c r="BT57">
        <f>+SUBSTITUTE(map_country[[#This Row],[min]],MID(map_country[[#This Row],[min]],2,2),MID(map_country[[#This Row],[min]],2,2)+2)</f>
        <v/>
      </c>
      <c r="BU57">
        <f>+SUBSTITUTE(map_country[[#This Row],[min]],MID(map_country[[#This Row],[min]],2,2),MID(map_country[[#This Row],[min]],2,2)+3)</f>
        <v/>
      </c>
      <c r="BV57">
        <f>+SUBSTITUTE(map_country[[#This Row],[min]],MID(map_country[[#This Row],[min]],2,2),MID(map_country[[#This Row],[min]],2,2)+4)</f>
        <v/>
      </c>
    </row>
    <row r="58">
      <c r="A58" t="inlineStr">
        <is>
          <t>Domenique Sky, Linreng</t>
        </is>
      </c>
      <c r="B58" t="inlineStr">
        <is>
          <t>Deep End</t>
        </is>
      </c>
      <c r="C58" t="inlineStr">
        <is>
          <t>Latvia</t>
        </is>
      </c>
      <c r="D58" t="inlineStr">
        <is>
          <t>February 17th, 2023</t>
        </is>
      </c>
      <c r="E58" t="inlineStr">
        <is>
          <t>17.02.2023</t>
        </is>
      </c>
      <c r="F58" s="3" t="n">
        <v>5063212022135</v>
      </c>
      <c r="G58" t="inlineStr">
        <is>
          <t>GX89G2317897</t>
        </is>
      </c>
      <c r="H58" t="inlineStr">
        <is>
          <t>Lo-Fi</t>
        </is>
      </c>
      <c r="I58" t="inlineStr">
        <is>
          <t>2</t>
        </is>
      </c>
      <c r="J58" t="inlineStr">
        <is>
          <t>18</t>
        </is>
      </c>
      <c r="K58" t="inlineStr">
        <is>
          <t>https://soundcloud.com/floatingbluerecords/domenique-sky-linreng-deep-end/s-lppEhii1MZf?si=1c79d404431b4b35a32f01ed5a081104&amp;utm_source=clipboard&amp;utm_medium=text&amp;utm_campaign=social_sharing</t>
        </is>
      </c>
      <c r="L58" t="inlineStr">
        <is>
          <t>Floating Blue Records</t>
        </is>
      </c>
      <c r="M58" t="n">
        <v>2</v>
      </c>
      <c r="N58" t="inlineStr">
        <is>
          <t>Radio</t>
        </is>
      </c>
      <c r="BI58" t="inlineStr">
        <is>
          <t>EDM</t>
        </is>
      </c>
      <c r="BJ58" t="inlineStr">
        <is>
          <t>edm_country[rand]</t>
        </is>
      </c>
      <c r="BK58" t="inlineStr">
        <is>
          <t>edm_country[country]</t>
        </is>
      </c>
      <c r="BL58">
        <f>+map_country[[#This Row],[rand]]</f>
        <v/>
      </c>
      <c r="BM58">
        <f>"R"&amp;ROW(BX21)&amp;"C"&amp;COLUMN(BX21)</f>
        <v/>
      </c>
      <c r="BN58">
        <f>+SUBSTITUTE(map_country[[#This Row],[min]],MID(map_country[[#This Row],[min]],2,2),MID(map_country[[#This Row],[min]],2,2)+1)</f>
        <v/>
      </c>
      <c r="BO58">
        <f>+SUBSTITUTE(map_country[[#This Row],[min]],MID(map_country[[#This Row],[min]],2,2),MID(map_country[[#This Row],[min]],2,2)+2)</f>
        <v/>
      </c>
      <c r="BP58">
        <f>+SUBSTITUTE(map_country[[#This Row],[min]],MID(map_country[[#This Row],[min]],2,2),MID(map_country[[#This Row],[min]],2,2)+3)</f>
        <v/>
      </c>
      <c r="BQ58">
        <f>+SUBSTITUTE(map_country[[#This Row],[min]],MID(map_country[[#This Row],[min]],2,2),MID(map_country[[#This Row],[min]],2,2)+4)</f>
        <v/>
      </c>
      <c r="BR58">
        <f>+SUBSTITUTE(map_country[[#This Row],[min]],MID(map_country[[#This Row],[min]],2,2),MID(map_country[[#This Row],[min]],2,2)+5)</f>
        <v/>
      </c>
      <c r="BS58">
        <f>+SUBSTITUTE(map_country[[#This Row],[min]],MID(map_country[[#This Row],[min]],2,2),MID(map_country[[#This Row],[min]],2,2)+6)</f>
        <v/>
      </c>
      <c r="BT58">
        <f>+SUBSTITUTE(map_country[[#This Row],[min]],MID(map_country[[#This Row],[min]],2,2),MID(map_country[[#This Row],[min]],2,2)+7)</f>
        <v/>
      </c>
      <c r="BU58">
        <f>+SUBSTITUTE(map_country[[#This Row],[min]],MID(map_country[[#This Row],[min]],2,2),MID(map_country[[#This Row],[min]],2,2)+8)</f>
        <v/>
      </c>
      <c r="BV58">
        <f>+SUBSTITUTE(map_country[[#This Row],[min]],MID(map_country[[#This Row],[min]],2,2),MID(map_country[[#This Row],[min]],2,2)+9)</f>
        <v/>
      </c>
    </row>
    <row r="59">
      <c r="A59" t="inlineStr">
        <is>
          <t>Domenique Sky, Linreng</t>
        </is>
      </c>
      <c r="B59" t="inlineStr">
        <is>
          <t>Deep End</t>
        </is>
      </c>
      <c r="C59" t="inlineStr">
        <is>
          <t>Latvia</t>
        </is>
      </c>
      <c r="D59" t="inlineStr">
        <is>
          <t>February 17th, 2023</t>
        </is>
      </c>
      <c r="E59" t="inlineStr">
        <is>
          <t>17.02.2023</t>
        </is>
      </c>
      <c r="F59" s="3" t="n">
        <v>5063212022135</v>
      </c>
      <c r="G59" t="inlineStr">
        <is>
          <t>GX89G2317897</t>
        </is>
      </c>
      <c r="H59" t="inlineStr">
        <is>
          <t>Lo-Fi</t>
        </is>
      </c>
      <c r="I59" t="inlineStr">
        <is>
          <t>2</t>
        </is>
      </c>
      <c r="J59" t="inlineStr">
        <is>
          <t>18</t>
        </is>
      </c>
      <c r="K59" t="inlineStr">
        <is>
          <t>https://soundcloud.com/floatingbluerecords/domenique-sky-linreng-deep-end/s-lppEhii1MZf?si=1c79d404431b4b35a32f01ed5a081104&amp;utm_source=clipboard&amp;utm_medium=text&amp;utm_campaign=social_sharing</t>
        </is>
      </c>
      <c r="L59" t="inlineStr">
        <is>
          <t>Floating Blue Records</t>
        </is>
      </c>
      <c r="M59" t="n">
        <v>2</v>
      </c>
      <c r="N59" t="inlineStr">
        <is>
          <t>Radio</t>
        </is>
      </c>
    </row>
    <row r="60">
      <c r="A60" t="inlineStr">
        <is>
          <t>Domenique Sky, Linreng</t>
        </is>
      </c>
      <c r="B60" t="inlineStr">
        <is>
          <t>Deep End</t>
        </is>
      </c>
      <c r="C60" t="inlineStr">
        <is>
          <t>Latvia</t>
        </is>
      </c>
      <c r="D60" t="inlineStr">
        <is>
          <t>February 17th, 2023</t>
        </is>
      </c>
      <c r="E60" t="inlineStr">
        <is>
          <t>17.02.2023</t>
        </is>
      </c>
      <c r="F60" s="3" t="n">
        <v>5063212022135</v>
      </c>
      <c r="G60" t="inlineStr">
        <is>
          <t>GX89G2317897</t>
        </is>
      </c>
      <c r="H60" t="inlineStr">
        <is>
          <t>Lo-Fi</t>
        </is>
      </c>
      <c r="I60" t="inlineStr">
        <is>
          <t>2</t>
        </is>
      </c>
      <c r="J60" t="inlineStr">
        <is>
          <t>18</t>
        </is>
      </c>
      <c r="K60" t="inlineStr">
        <is>
          <t>https://soundcloud.com/floatingbluerecords/domenique-sky-linreng-deep-end/s-lppEhii1MZf?si=1c79d404431b4b35a32f01ed5a081104&amp;utm_source=clipboard&amp;utm_medium=text&amp;utm_campaign=social_sharing</t>
        </is>
      </c>
      <c r="L60" t="inlineStr">
        <is>
          <t>Floating Blue Records</t>
        </is>
      </c>
      <c r="M60" t="n">
        <v>2</v>
      </c>
      <c r="N60" t="inlineStr">
        <is>
          <t>Radio</t>
        </is>
      </c>
    </row>
    <row r="61">
      <c r="A61" t="inlineStr">
        <is>
          <t>Domenique Sky, Linreng</t>
        </is>
      </c>
      <c r="B61" t="inlineStr">
        <is>
          <t>Deep End</t>
        </is>
      </c>
      <c r="C61" t="inlineStr">
        <is>
          <t>Latvia</t>
        </is>
      </c>
      <c r="D61" t="inlineStr">
        <is>
          <t>February 17th, 2023</t>
        </is>
      </c>
      <c r="E61" t="inlineStr">
        <is>
          <t>17.02.2023</t>
        </is>
      </c>
      <c r="F61" s="3" t="n">
        <v>5063212022135</v>
      </c>
      <c r="G61" t="inlineStr">
        <is>
          <t>GX89G2317897</t>
        </is>
      </c>
      <c r="H61" t="inlineStr">
        <is>
          <t>Lo-Fi</t>
        </is>
      </c>
      <c r="I61" t="inlineStr">
        <is>
          <t>2</t>
        </is>
      </c>
      <c r="J61" t="inlineStr">
        <is>
          <t>18</t>
        </is>
      </c>
      <c r="K61" t="inlineStr">
        <is>
          <t>https://soundcloud.com/floatingbluerecords/domenique-sky-linreng-deep-end/s-lppEhii1MZf?si=1c79d404431b4b35a32f01ed5a081104&amp;utm_source=clipboard&amp;utm_medium=text&amp;utm_campaign=social_sharing</t>
        </is>
      </c>
      <c r="L61" t="inlineStr">
        <is>
          <t>Floating Blue Records</t>
        </is>
      </c>
      <c r="M61" t="n">
        <v>2</v>
      </c>
      <c r="N61" t="inlineStr">
        <is>
          <t>Radio</t>
        </is>
      </c>
    </row>
    <row r="62">
      <c r="A62" t="inlineStr">
        <is>
          <t>Domenique Sky, Linreng</t>
        </is>
      </c>
      <c r="B62" t="inlineStr">
        <is>
          <t>Deep End</t>
        </is>
      </c>
      <c r="C62" t="inlineStr">
        <is>
          <t>Latvia</t>
        </is>
      </c>
      <c r="D62" t="inlineStr">
        <is>
          <t>February 17th, 2023</t>
        </is>
      </c>
      <c r="E62" t="inlineStr">
        <is>
          <t>17.02.2023</t>
        </is>
      </c>
      <c r="F62" s="3" t="n">
        <v>5063212022135</v>
      </c>
      <c r="G62" t="inlineStr">
        <is>
          <t>GX89G2317897</t>
        </is>
      </c>
      <c r="H62" t="inlineStr">
        <is>
          <t>Lo-Fi</t>
        </is>
      </c>
      <c r="I62" t="inlineStr">
        <is>
          <t>2</t>
        </is>
      </c>
      <c r="J62" t="inlineStr">
        <is>
          <t>18</t>
        </is>
      </c>
      <c r="K62" t="inlineStr">
        <is>
          <t>https://soundcloud.com/floatingbluerecords/domenique-sky-linreng-deep-end/s-lppEhii1MZf?si=1c79d404431b4b35a32f01ed5a081104&amp;utm_source=clipboard&amp;utm_medium=text&amp;utm_campaign=social_sharing</t>
        </is>
      </c>
      <c r="L62" t="inlineStr">
        <is>
          <t>Floating Blue Records</t>
        </is>
      </c>
      <c r="M62" t="n">
        <v>2</v>
      </c>
      <c r="N62" t="inlineStr">
        <is>
          <t>Radio</t>
        </is>
      </c>
    </row>
    <row r="63">
      <c r="A63" t="inlineStr">
        <is>
          <t>Domenique Sky, Linreng</t>
        </is>
      </c>
      <c r="B63" t="inlineStr">
        <is>
          <t>Deep End</t>
        </is>
      </c>
      <c r="C63" t="inlineStr">
        <is>
          <t>Latvia</t>
        </is>
      </c>
      <c r="D63" t="inlineStr">
        <is>
          <t>February 17th, 2023</t>
        </is>
      </c>
      <c r="E63" t="inlineStr">
        <is>
          <t>17.02.2023</t>
        </is>
      </c>
      <c r="F63" s="3" t="n">
        <v>5063212022135</v>
      </c>
      <c r="G63" t="inlineStr">
        <is>
          <t>GX89G2317897</t>
        </is>
      </c>
      <c r="H63" t="inlineStr">
        <is>
          <t>Lo-Fi</t>
        </is>
      </c>
      <c r="I63" t="inlineStr">
        <is>
          <t>2</t>
        </is>
      </c>
      <c r="J63" t="inlineStr">
        <is>
          <t>18</t>
        </is>
      </c>
      <c r="K63" t="inlineStr">
        <is>
          <t>https://soundcloud.com/floatingbluerecords/domenique-sky-linreng-deep-end/s-lppEhii1MZf?si=1c79d404431b4b35a32f01ed5a081104&amp;utm_source=clipboard&amp;utm_medium=text&amp;utm_campaign=social_sharing</t>
        </is>
      </c>
      <c r="L63" t="inlineStr">
        <is>
          <t>Floating Blue Records</t>
        </is>
      </c>
      <c r="M63" t="n">
        <v>2</v>
      </c>
      <c r="N63" t="inlineStr">
        <is>
          <t>Radio</t>
        </is>
      </c>
    </row>
    <row r="64">
      <c r="A64" t="inlineStr">
        <is>
          <t>Domenique Sky, Linreng</t>
        </is>
      </c>
      <c r="B64" t="inlineStr">
        <is>
          <t>Deep End</t>
        </is>
      </c>
      <c r="C64" t="inlineStr">
        <is>
          <t>Latvia</t>
        </is>
      </c>
      <c r="D64" t="inlineStr">
        <is>
          <t>February 17th, 2023</t>
        </is>
      </c>
      <c r="E64" t="inlineStr">
        <is>
          <t>17.02.2023</t>
        </is>
      </c>
      <c r="F64" s="3" t="n">
        <v>5063212022135</v>
      </c>
      <c r="G64" t="inlineStr">
        <is>
          <t>GX89G2317897</t>
        </is>
      </c>
      <c r="H64" t="inlineStr">
        <is>
          <t>Lo-Fi</t>
        </is>
      </c>
      <c r="I64" t="inlineStr">
        <is>
          <t>2</t>
        </is>
      </c>
      <c r="J64" t="inlineStr">
        <is>
          <t>18</t>
        </is>
      </c>
      <c r="K64" t="inlineStr">
        <is>
          <t>https://soundcloud.com/floatingbluerecords/domenique-sky-linreng-deep-end/s-lppEhii1MZf?si=1c79d404431b4b35a32f01ed5a081104&amp;utm_source=clipboard&amp;utm_medium=text&amp;utm_campaign=social_sharing</t>
        </is>
      </c>
      <c r="L64" t="inlineStr">
        <is>
          <t>Floating Blue Records</t>
        </is>
      </c>
      <c r="M64" t="n">
        <v>2</v>
      </c>
      <c r="N64" t="inlineStr">
        <is>
          <t>Radio</t>
        </is>
      </c>
    </row>
    <row r="65">
      <c r="A65" t="inlineStr">
        <is>
          <t>Domenique Sky, Linreng</t>
        </is>
      </c>
      <c r="B65" t="inlineStr">
        <is>
          <t>Deep End</t>
        </is>
      </c>
      <c r="C65" t="inlineStr">
        <is>
          <t>Latvia</t>
        </is>
      </c>
      <c r="D65" t="inlineStr">
        <is>
          <t>February 17th, 2023</t>
        </is>
      </c>
      <c r="E65" t="inlineStr">
        <is>
          <t>17.02.2023</t>
        </is>
      </c>
      <c r="F65" t="n">
        <v>5063212022135</v>
      </c>
      <c r="G65" t="inlineStr">
        <is>
          <t>GX89G2317897</t>
        </is>
      </c>
      <c r="H65" t="inlineStr">
        <is>
          <t>Lo-Fi</t>
        </is>
      </c>
      <c r="I65" t="inlineStr">
        <is>
          <t>2</t>
        </is>
      </c>
      <c r="J65" t="inlineStr">
        <is>
          <t>18</t>
        </is>
      </c>
      <c r="K65" t="inlineStr">
        <is>
          <t>https://soundcloud.com/floatingbluerecords/domenique-sky-linreng-deep-end/s-lppEhii1MZf?si=1c79d404431b4b35a32f01ed5a081104&amp;utm_source=clipboard&amp;utm_medium=text&amp;utm_campaign=social_sharing</t>
        </is>
      </c>
      <c r="L65" t="inlineStr">
        <is>
          <t>Floating Blue Records</t>
        </is>
      </c>
      <c r="M65" t="n">
        <v>2</v>
      </c>
      <c r="N65" t="inlineStr">
        <is>
          <t>Radio</t>
        </is>
      </c>
    </row>
    <row r="66">
      <c r="A66" t="inlineStr">
        <is>
          <t>Domenique Sky, Linreng</t>
        </is>
      </c>
      <c r="B66" t="inlineStr">
        <is>
          <t>Deep End</t>
        </is>
      </c>
      <c r="C66" t="inlineStr">
        <is>
          <t>Latvia</t>
        </is>
      </c>
      <c r="D66" t="inlineStr">
        <is>
          <t>February 17th, 2023</t>
        </is>
      </c>
      <c r="E66" t="inlineStr">
        <is>
          <t>17.02.2023</t>
        </is>
      </c>
      <c r="F66" t="n">
        <v>5063212022135</v>
      </c>
      <c r="G66" t="inlineStr">
        <is>
          <t>GX89G2317897</t>
        </is>
      </c>
      <c r="H66" t="inlineStr">
        <is>
          <t>Lo-Fi</t>
        </is>
      </c>
      <c r="I66" t="inlineStr">
        <is>
          <t>2</t>
        </is>
      </c>
      <c r="J66" t="inlineStr">
        <is>
          <t>18</t>
        </is>
      </c>
      <c r="K66" t="inlineStr">
        <is>
          <t>https://soundcloud.com/floatingbluerecords/domenique-sky-linreng-deep-end/s-lppEhii1MZf?si=1c79d404431b4b35a32f01ed5a081104&amp;utm_source=clipboard&amp;utm_medium=text&amp;utm_campaign=social_sharing</t>
        </is>
      </c>
      <c r="L66" t="inlineStr">
        <is>
          <t>Floating Blue Records</t>
        </is>
      </c>
      <c r="M66" t="n">
        <v>2</v>
      </c>
      <c r="N66" t="inlineStr">
        <is>
          <t>Radio</t>
        </is>
      </c>
    </row>
    <row r="67">
      <c r="A67" t="inlineStr">
        <is>
          <t>Domenique Sky, Linreng</t>
        </is>
      </c>
      <c r="B67" t="inlineStr">
        <is>
          <t>Deep End</t>
        </is>
      </c>
      <c r="C67" t="inlineStr">
        <is>
          <t>Latvia</t>
        </is>
      </c>
      <c r="D67" t="inlineStr">
        <is>
          <t>February 17th, 2023</t>
        </is>
      </c>
      <c r="E67" t="inlineStr">
        <is>
          <t>17.02.2023</t>
        </is>
      </c>
      <c r="F67" t="n">
        <v>5063212022135</v>
      </c>
      <c r="G67" t="inlineStr">
        <is>
          <t>GX89G2317897</t>
        </is>
      </c>
      <c r="H67" t="inlineStr">
        <is>
          <t>Lo-Fi</t>
        </is>
      </c>
      <c r="I67" t="inlineStr">
        <is>
          <t>2</t>
        </is>
      </c>
      <c r="J67" t="inlineStr">
        <is>
          <t>18</t>
        </is>
      </c>
      <c r="K67" t="inlineStr">
        <is>
          <t>https://soundcloud.com/floatingbluerecords/domenique-sky-linreng-deep-end/s-lppEhii1MZf?si=1c79d404431b4b35a32f01ed5a081104&amp;utm_source=clipboard&amp;utm_medium=text&amp;utm_campaign=social_sharing</t>
        </is>
      </c>
      <c r="L67" t="inlineStr">
        <is>
          <t>Floating Blue Records</t>
        </is>
      </c>
      <c r="M67" t="n">
        <v>2</v>
      </c>
      <c r="N67" t="inlineStr">
        <is>
          <t>Radio</t>
        </is>
      </c>
    </row>
    <row r="68">
      <c r="A68" t="inlineStr">
        <is>
          <t>Domenique Sky, Linreng</t>
        </is>
      </c>
      <c r="B68" t="inlineStr">
        <is>
          <t>Deep End</t>
        </is>
      </c>
      <c r="C68" t="inlineStr">
        <is>
          <t>Latvia</t>
        </is>
      </c>
      <c r="D68" t="inlineStr">
        <is>
          <t>February 17th, 2023</t>
        </is>
      </c>
      <c r="E68" t="inlineStr">
        <is>
          <t>17.02.2023</t>
        </is>
      </c>
      <c r="F68" t="n">
        <v>5063212022135</v>
      </c>
      <c r="G68" t="inlineStr">
        <is>
          <t>GX89G2317897</t>
        </is>
      </c>
      <c r="H68" t="inlineStr">
        <is>
          <t>Lo-Fi</t>
        </is>
      </c>
      <c r="I68" t="inlineStr">
        <is>
          <t>2</t>
        </is>
      </c>
      <c r="J68" t="inlineStr">
        <is>
          <t>18</t>
        </is>
      </c>
      <c r="K68" t="inlineStr">
        <is>
          <t>https://soundcloud.com/floatingbluerecords/domenique-sky-linreng-deep-end/s-lppEhii1MZf?si=1c79d404431b4b35a32f01ed5a081104&amp;utm_source=clipboard&amp;utm_medium=text&amp;utm_campaign=social_sharing</t>
        </is>
      </c>
      <c r="L68" t="inlineStr">
        <is>
          <t>Floating Blue Records</t>
        </is>
      </c>
      <c r="M68" t="n">
        <v>2</v>
      </c>
      <c r="N68" t="inlineStr">
        <is>
          <t>Radio</t>
        </is>
      </c>
    </row>
    <row r="69">
      <c r="A69" t="inlineStr">
        <is>
          <t>Domenique Sky, Linreng</t>
        </is>
      </c>
      <c r="B69" t="inlineStr">
        <is>
          <t>Deep End</t>
        </is>
      </c>
      <c r="C69" t="inlineStr">
        <is>
          <t>Latvia</t>
        </is>
      </c>
      <c r="D69" t="inlineStr">
        <is>
          <t>February 17th, 2023</t>
        </is>
      </c>
      <c r="E69" t="inlineStr">
        <is>
          <t>17.02.2023</t>
        </is>
      </c>
      <c r="F69" t="n">
        <v>5063212022135</v>
      </c>
      <c r="G69" t="inlineStr">
        <is>
          <t>GX89G2317897</t>
        </is>
      </c>
      <c r="H69" t="inlineStr">
        <is>
          <t>Lo-Fi</t>
        </is>
      </c>
      <c r="I69" t="inlineStr">
        <is>
          <t>2</t>
        </is>
      </c>
      <c r="J69" t="inlineStr">
        <is>
          <t>18</t>
        </is>
      </c>
      <c r="K69" t="inlineStr">
        <is>
          <t>https://soundcloud.com/floatingbluerecords/domenique-sky-linreng-deep-end/s-lppEhii1MZf?si=1c79d404431b4b35a32f01ed5a081104&amp;utm_source=clipboard&amp;utm_medium=text&amp;utm_campaign=social_sharing</t>
        </is>
      </c>
      <c r="L69" t="inlineStr">
        <is>
          <t>Floating Blue Records</t>
        </is>
      </c>
      <c r="M69" t="n">
        <v>2</v>
      </c>
      <c r="N69" t="inlineStr">
        <is>
          <t>Radio</t>
        </is>
      </c>
    </row>
    <row r="70">
      <c r="A70" t="inlineStr">
        <is>
          <t>Domenique Sky, Linreng</t>
        </is>
      </c>
      <c r="B70" t="inlineStr">
        <is>
          <t>Deep End</t>
        </is>
      </c>
      <c r="C70" t="inlineStr">
        <is>
          <t>Latvia</t>
        </is>
      </c>
      <c r="D70" t="inlineStr">
        <is>
          <t>February 17th, 2023</t>
        </is>
      </c>
      <c r="E70" t="inlineStr">
        <is>
          <t>17.02.2023</t>
        </is>
      </c>
      <c r="F70" t="n">
        <v>5063212022135</v>
      </c>
      <c r="G70" t="inlineStr">
        <is>
          <t>GX89G2317897</t>
        </is>
      </c>
      <c r="H70" t="inlineStr">
        <is>
          <t>Lo-Fi</t>
        </is>
      </c>
      <c r="I70" t="inlineStr">
        <is>
          <t>2</t>
        </is>
      </c>
      <c r="J70" t="inlineStr">
        <is>
          <t>18</t>
        </is>
      </c>
      <c r="K70" t="inlineStr">
        <is>
          <t>https://soundcloud.com/floatingbluerecords/domenique-sky-linreng-deep-end/s-lppEhii1MZf?si=1c79d404431b4b35a32f01ed5a081104&amp;utm_source=clipboard&amp;utm_medium=text&amp;utm_campaign=social_sharing</t>
        </is>
      </c>
      <c r="L70" t="inlineStr">
        <is>
          <t>Floating Blue Records</t>
        </is>
      </c>
      <c r="M70" t="n">
        <v>2</v>
      </c>
      <c r="N70" t="inlineStr">
        <is>
          <t>Radio</t>
        </is>
      </c>
    </row>
    <row r="71">
      <c r="A71" t="inlineStr">
        <is>
          <t>Domenique Sky, Linreng</t>
        </is>
      </c>
      <c r="B71" t="inlineStr">
        <is>
          <t>Deep End</t>
        </is>
      </c>
      <c r="C71" t="inlineStr">
        <is>
          <t>Latvia</t>
        </is>
      </c>
      <c r="D71" t="inlineStr">
        <is>
          <t>February 17th, 2023</t>
        </is>
      </c>
      <c r="E71" t="inlineStr">
        <is>
          <t>17.02.2023</t>
        </is>
      </c>
      <c r="F71" t="n">
        <v>5063212022135</v>
      </c>
      <c r="G71" t="inlineStr">
        <is>
          <t>GX89G2317897</t>
        </is>
      </c>
      <c r="H71" t="inlineStr">
        <is>
          <t>Lo-Fi</t>
        </is>
      </c>
      <c r="I71" t="inlineStr">
        <is>
          <t>2</t>
        </is>
      </c>
      <c r="J71" t="inlineStr">
        <is>
          <t>18</t>
        </is>
      </c>
      <c r="K71" t="inlineStr">
        <is>
          <t>https://soundcloud.com/floatingbluerecords/domenique-sky-linreng-deep-end/s-lppEhii1MZf?si=1c79d404431b4b35a32f01ed5a081104&amp;utm_source=clipboard&amp;utm_medium=text&amp;utm_campaign=social_sharing</t>
        </is>
      </c>
      <c r="L71" t="inlineStr">
        <is>
          <t>Floating Blue Records</t>
        </is>
      </c>
      <c r="M71" t="n">
        <v>2</v>
      </c>
      <c r="N71" t="inlineStr">
        <is>
          <t>Radio</t>
        </is>
      </c>
    </row>
    <row r="72">
      <c r="A72" t="inlineStr">
        <is>
          <t>Domenique Sky, Linreng</t>
        </is>
      </c>
      <c r="B72" t="inlineStr">
        <is>
          <t>Deep End</t>
        </is>
      </c>
      <c r="C72" t="inlineStr">
        <is>
          <t>Latvia</t>
        </is>
      </c>
      <c r="D72" t="inlineStr">
        <is>
          <t>February 17th, 2023</t>
        </is>
      </c>
      <c r="E72" t="inlineStr">
        <is>
          <t>17.02.2023</t>
        </is>
      </c>
      <c r="F72" t="n">
        <v>5063212022135</v>
      </c>
      <c r="G72" t="inlineStr">
        <is>
          <t>GX89G2317897</t>
        </is>
      </c>
      <c r="H72" t="inlineStr">
        <is>
          <t>Lo-Fi</t>
        </is>
      </c>
      <c r="I72" t="inlineStr">
        <is>
          <t>2</t>
        </is>
      </c>
      <c r="J72" t="inlineStr">
        <is>
          <t>18</t>
        </is>
      </c>
      <c r="K72" t="inlineStr">
        <is>
          <t>https://soundcloud.com/floatingbluerecords/domenique-sky-linreng-deep-end/s-lppEhii1MZf?si=1c79d404431b4b35a32f01ed5a081104&amp;utm_source=clipboard&amp;utm_medium=text&amp;utm_campaign=social_sharing</t>
        </is>
      </c>
      <c r="L72" t="inlineStr">
        <is>
          <t>Floating Blue Records</t>
        </is>
      </c>
      <c r="M72" t="n">
        <v>2</v>
      </c>
      <c r="N72" t="inlineStr">
        <is>
          <t>Radio</t>
        </is>
      </c>
    </row>
    <row r="73">
      <c r="A73" t="inlineStr">
        <is>
          <t>Domenique Sky, Linreng</t>
        </is>
      </c>
      <c r="B73" t="inlineStr">
        <is>
          <t>Deep End</t>
        </is>
      </c>
      <c r="C73" t="inlineStr">
        <is>
          <t>Latvia</t>
        </is>
      </c>
      <c r="D73" t="inlineStr">
        <is>
          <t>February 17th, 2023</t>
        </is>
      </c>
      <c r="E73" t="inlineStr">
        <is>
          <t>17.02.2023</t>
        </is>
      </c>
      <c r="F73" t="n">
        <v>5063212022135</v>
      </c>
      <c r="G73" t="inlineStr">
        <is>
          <t>GX89G2317897</t>
        </is>
      </c>
      <c r="H73" t="inlineStr">
        <is>
          <t>Lo-Fi</t>
        </is>
      </c>
      <c r="I73" t="inlineStr">
        <is>
          <t>2</t>
        </is>
      </c>
      <c r="J73" t="inlineStr">
        <is>
          <t>18</t>
        </is>
      </c>
      <c r="K73" t="inlineStr">
        <is>
          <t>https://soundcloud.com/floatingbluerecords/domenique-sky-linreng-deep-end/s-lppEhii1MZf?si=1c79d404431b4b35a32f01ed5a081104&amp;utm_source=clipboard&amp;utm_medium=text&amp;utm_campaign=social_sharing</t>
        </is>
      </c>
      <c r="L73" t="inlineStr">
        <is>
          <t>Floating Blue Records</t>
        </is>
      </c>
      <c r="M73" t="n">
        <v>2</v>
      </c>
      <c r="N73" t="inlineStr">
        <is>
          <t>Radio</t>
        </is>
      </c>
    </row>
    <row r="74">
      <c r="A74" t="inlineStr">
        <is>
          <t>Domenique Sky, Linreng</t>
        </is>
      </c>
      <c r="B74" t="inlineStr">
        <is>
          <t>Deep End</t>
        </is>
      </c>
      <c r="C74" t="inlineStr">
        <is>
          <t>Latvia</t>
        </is>
      </c>
      <c r="D74" t="inlineStr">
        <is>
          <t>February 17th, 2023</t>
        </is>
      </c>
      <c r="E74" t="inlineStr">
        <is>
          <t>17.02.2023</t>
        </is>
      </c>
      <c r="F74" t="n">
        <v>5063212022135</v>
      </c>
      <c r="G74" t="inlineStr">
        <is>
          <t>GX89G2317897</t>
        </is>
      </c>
      <c r="H74" t="inlineStr">
        <is>
          <t>Lo-Fi</t>
        </is>
      </c>
      <c r="I74" t="inlineStr">
        <is>
          <t>2</t>
        </is>
      </c>
      <c r="J74" t="inlineStr">
        <is>
          <t>18</t>
        </is>
      </c>
      <c r="K74" t="inlineStr">
        <is>
          <t>https://soundcloud.com/floatingbluerecords/domenique-sky-linreng-deep-end/s-lppEhii1MZf?si=1c79d404431b4b35a32f01ed5a081104&amp;utm_source=clipboard&amp;utm_medium=text&amp;utm_campaign=social_sharing</t>
        </is>
      </c>
      <c r="L74" t="inlineStr">
        <is>
          <t>Floating Blue Records</t>
        </is>
      </c>
      <c r="M74" t="n">
        <v>2</v>
      </c>
      <c r="N74" t="inlineStr">
        <is>
          <t>Radio</t>
        </is>
      </c>
    </row>
    <row r="75">
      <c r="A75" t="inlineStr">
        <is>
          <t>Domenique Sky, Linreng</t>
        </is>
      </c>
      <c r="B75" t="inlineStr">
        <is>
          <t>Deep End</t>
        </is>
      </c>
      <c r="C75" t="inlineStr">
        <is>
          <t>Latvia</t>
        </is>
      </c>
      <c r="D75" t="inlineStr">
        <is>
          <t>February 17th, 2023</t>
        </is>
      </c>
      <c r="E75" t="inlineStr">
        <is>
          <t>17.02.2023</t>
        </is>
      </c>
      <c r="F75" t="n">
        <v>5063212022135</v>
      </c>
      <c r="G75" t="inlineStr">
        <is>
          <t>GX89G2317897</t>
        </is>
      </c>
      <c r="H75" t="inlineStr">
        <is>
          <t>Lo-Fi</t>
        </is>
      </c>
      <c r="I75" t="inlineStr">
        <is>
          <t>2</t>
        </is>
      </c>
      <c r="J75" t="inlineStr">
        <is>
          <t>18</t>
        </is>
      </c>
      <c r="K75" t="inlineStr">
        <is>
          <t>https://soundcloud.com/floatingbluerecords/domenique-sky-linreng-deep-end/s-lppEhii1MZf?si=1c79d404431b4b35a32f01ed5a081104&amp;utm_source=clipboard&amp;utm_medium=text&amp;utm_campaign=social_sharing</t>
        </is>
      </c>
      <c r="L75" t="inlineStr">
        <is>
          <t>Floating Blue Records</t>
        </is>
      </c>
      <c r="M75" t="n">
        <v>2</v>
      </c>
      <c r="N75" t="inlineStr">
        <is>
          <t>Radio</t>
        </is>
      </c>
    </row>
    <row r="76">
      <c r="A76" t="inlineStr">
        <is>
          <t>Domenique Sky, Linreng</t>
        </is>
      </c>
      <c r="B76" t="inlineStr">
        <is>
          <t>Deep End</t>
        </is>
      </c>
      <c r="C76" t="inlineStr">
        <is>
          <t>Latvia</t>
        </is>
      </c>
      <c r="D76" t="inlineStr">
        <is>
          <t>February 17th, 2023</t>
        </is>
      </c>
      <c r="E76" t="inlineStr">
        <is>
          <t>17.02.2023</t>
        </is>
      </c>
      <c r="F76" t="n">
        <v>5063212022135</v>
      </c>
      <c r="G76" t="inlineStr">
        <is>
          <t>GX89G2317897</t>
        </is>
      </c>
      <c r="H76" t="inlineStr">
        <is>
          <t>Lo-Fi</t>
        </is>
      </c>
      <c r="I76" t="inlineStr">
        <is>
          <t>2</t>
        </is>
      </c>
      <c r="J76" t="inlineStr">
        <is>
          <t>18</t>
        </is>
      </c>
      <c r="K76" t="inlineStr">
        <is>
          <t>https://soundcloud.com/floatingbluerecords/domenique-sky-linreng-deep-end/s-lppEhii1MZf?si=1c79d404431b4b35a32f01ed5a081104&amp;utm_source=clipboard&amp;utm_medium=text&amp;utm_campaign=social_sharing</t>
        </is>
      </c>
      <c r="L76" t="inlineStr">
        <is>
          <t>Floating Blue Records</t>
        </is>
      </c>
      <c r="M76" t="n">
        <v>2</v>
      </c>
      <c r="N76" t="inlineStr">
        <is>
          <t>Radio</t>
        </is>
      </c>
    </row>
    <row r="77">
      <c r="A77" t="inlineStr">
        <is>
          <t>Domenique Sky, Linreng</t>
        </is>
      </c>
      <c r="B77" t="inlineStr">
        <is>
          <t>Deep End</t>
        </is>
      </c>
      <c r="C77" t="inlineStr">
        <is>
          <t>Latvia</t>
        </is>
      </c>
      <c r="D77" t="inlineStr">
        <is>
          <t>February 17th, 2023</t>
        </is>
      </c>
      <c r="E77" t="inlineStr">
        <is>
          <t>17.02.2023</t>
        </is>
      </c>
      <c r="F77" t="n">
        <v>5063212022135</v>
      </c>
      <c r="G77" t="inlineStr">
        <is>
          <t>GX89G2317897</t>
        </is>
      </c>
      <c r="H77" t="inlineStr">
        <is>
          <t>Lo-Fi</t>
        </is>
      </c>
      <c r="I77" t="inlineStr">
        <is>
          <t>2</t>
        </is>
      </c>
      <c r="J77" t="inlineStr">
        <is>
          <t>18</t>
        </is>
      </c>
      <c r="K77" t="inlineStr">
        <is>
          <t>https://soundcloud.com/floatingbluerecords/domenique-sky-linreng-deep-end/s-lppEhii1MZf?si=1c79d404431b4b35a32f01ed5a081104&amp;utm_source=clipboard&amp;utm_medium=text&amp;utm_campaign=social_sharing</t>
        </is>
      </c>
      <c r="L77" t="inlineStr">
        <is>
          <t>Floating Blue Records</t>
        </is>
      </c>
      <c r="M77" t="n">
        <v>2</v>
      </c>
      <c r="N77" t="inlineStr">
        <is>
          <t>Radio</t>
        </is>
      </c>
    </row>
    <row r="78">
      <c r="A78" t="inlineStr">
        <is>
          <t>Domenique Sky, Linreng</t>
        </is>
      </c>
      <c r="B78" t="inlineStr">
        <is>
          <t>Deep End</t>
        </is>
      </c>
      <c r="C78" t="inlineStr">
        <is>
          <t>Latvia</t>
        </is>
      </c>
      <c r="D78" t="inlineStr">
        <is>
          <t>February 17th, 2023</t>
        </is>
      </c>
      <c r="E78" t="inlineStr">
        <is>
          <t>17.02.2023</t>
        </is>
      </c>
      <c r="F78" t="n">
        <v>5063212022135</v>
      </c>
      <c r="G78" t="inlineStr">
        <is>
          <t>GX89G2317897</t>
        </is>
      </c>
      <c r="H78" t="inlineStr">
        <is>
          <t>Lo-Fi</t>
        </is>
      </c>
      <c r="I78" t="inlineStr">
        <is>
          <t>2</t>
        </is>
      </c>
      <c r="J78" t="inlineStr">
        <is>
          <t>18</t>
        </is>
      </c>
      <c r="K78" t="inlineStr">
        <is>
          <t>https://soundcloud.com/floatingbluerecords/domenique-sky-linreng-deep-end/s-lppEhii1MZf?si=1c79d404431b4b35a32f01ed5a081104&amp;utm_source=clipboard&amp;utm_medium=text&amp;utm_campaign=social_sharing</t>
        </is>
      </c>
      <c r="L78" t="inlineStr">
        <is>
          <t>Floating Blue Records</t>
        </is>
      </c>
      <c r="M78" t="n">
        <v>2</v>
      </c>
      <c r="N78" t="inlineStr">
        <is>
          <t>Radio</t>
        </is>
      </c>
    </row>
    <row r="79">
      <c r="A79" t="inlineStr">
        <is>
          <t>Domenique Sky, Linreng</t>
        </is>
      </c>
      <c r="B79" t="inlineStr">
        <is>
          <t>Deep End</t>
        </is>
      </c>
      <c r="C79" t="inlineStr">
        <is>
          <t>Latvia</t>
        </is>
      </c>
      <c r="D79" t="inlineStr">
        <is>
          <t>February 17th, 2023</t>
        </is>
      </c>
      <c r="E79" t="inlineStr">
        <is>
          <t>17.02.2023</t>
        </is>
      </c>
      <c r="F79" t="n">
        <v>5063212022135</v>
      </c>
      <c r="G79" t="inlineStr">
        <is>
          <t>GX89G2317897</t>
        </is>
      </c>
      <c r="H79" t="inlineStr">
        <is>
          <t>Lo-Fi</t>
        </is>
      </c>
      <c r="I79" t="inlineStr">
        <is>
          <t>2</t>
        </is>
      </c>
      <c r="J79" t="inlineStr">
        <is>
          <t>18</t>
        </is>
      </c>
      <c r="K79" t="inlineStr">
        <is>
          <t>https://soundcloud.com/floatingbluerecords/domenique-sky-linreng-deep-end/s-lppEhii1MZf?si=1c79d404431b4b35a32f01ed5a081104&amp;utm_source=clipboard&amp;utm_medium=text&amp;utm_campaign=social_sharing</t>
        </is>
      </c>
      <c r="L79" t="inlineStr">
        <is>
          <t>Floating Blue Records</t>
        </is>
      </c>
      <c r="M79" t="n">
        <v>2</v>
      </c>
      <c r="N79" t="inlineStr">
        <is>
          <t>Radio</t>
        </is>
      </c>
    </row>
    <row r="80">
      <c r="A80" t="inlineStr">
        <is>
          <t>Domenique Sky, Linreng</t>
        </is>
      </c>
      <c r="B80" t="inlineStr">
        <is>
          <t>Deep End</t>
        </is>
      </c>
      <c r="C80" t="inlineStr">
        <is>
          <t>Latvia</t>
        </is>
      </c>
      <c r="D80" t="inlineStr">
        <is>
          <t>February 17th, 2023</t>
        </is>
      </c>
      <c r="E80" t="inlineStr">
        <is>
          <t>17.02.2023</t>
        </is>
      </c>
      <c r="F80" t="n">
        <v>5063212022135</v>
      </c>
      <c r="G80" t="inlineStr">
        <is>
          <t>GX89G2317897</t>
        </is>
      </c>
      <c r="H80" t="inlineStr">
        <is>
          <t>Lo-Fi</t>
        </is>
      </c>
      <c r="I80" t="inlineStr">
        <is>
          <t>2</t>
        </is>
      </c>
      <c r="J80" t="inlineStr">
        <is>
          <t>18</t>
        </is>
      </c>
      <c r="K80" t="inlineStr">
        <is>
          <t>https://soundcloud.com/floatingbluerecords/domenique-sky-linreng-deep-end/s-lppEhii1MZf?si=1c79d404431b4b35a32f01ed5a081104&amp;utm_source=clipboard&amp;utm_medium=text&amp;utm_campaign=social_sharing</t>
        </is>
      </c>
      <c r="L80" t="inlineStr">
        <is>
          <t>Floating Blue Records</t>
        </is>
      </c>
      <c r="M80" t="n">
        <v>2</v>
      </c>
      <c r="N80" t="inlineStr">
        <is>
          <t>Radio</t>
        </is>
      </c>
    </row>
    <row r="81">
      <c r="A81" t="inlineStr">
        <is>
          <t>Domenique Sky, Linreng</t>
        </is>
      </c>
      <c r="B81" t="inlineStr">
        <is>
          <t>Deep End</t>
        </is>
      </c>
      <c r="C81" t="inlineStr">
        <is>
          <t>Latvia</t>
        </is>
      </c>
      <c r="D81" t="inlineStr">
        <is>
          <t>February 17th, 2023</t>
        </is>
      </c>
      <c r="E81" t="inlineStr">
        <is>
          <t>17.02.2023</t>
        </is>
      </c>
      <c r="F81" t="n">
        <v>5063212022135</v>
      </c>
      <c r="G81" t="inlineStr">
        <is>
          <t>GX89G2317897</t>
        </is>
      </c>
      <c r="H81" t="inlineStr">
        <is>
          <t>Lo-Fi</t>
        </is>
      </c>
      <c r="I81" t="inlineStr">
        <is>
          <t>2</t>
        </is>
      </c>
      <c r="J81" t="inlineStr">
        <is>
          <t>18</t>
        </is>
      </c>
      <c r="K81" t="inlineStr">
        <is>
          <t>https://soundcloud.com/floatingbluerecords/domenique-sky-linreng-deep-end/s-lppEhii1MZf?si=1c79d404431b4b35a32f01ed5a081104&amp;utm_source=clipboard&amp;utm_medium=text&amp;utm_campaign=social_sharing</t>
        </is>
      </c>
      <c r="L81" t="inlineStr">
        <is>
          <t>Floating Blue Records</t>
        </is>
      </c>
      <c r="M81" t="n">
        <v>2</v>
      </c>
      <c r="N81" t="inlineStr">
        <is>
          <t>Radio</t>
        </is>
      </c>
    </row>
    <row r="82">
      <c r="A82" t="inlineStr">
        <is>
          <t>Domenique Sky, Linreng</t>
        </is>
      </c>
      <c r="B82" t="inlineStr">
        <is>
          <t>Deep End</t>
        </is>
      </c>
      <c r="C82" t="inlineStr">
        <is>
          <t>Latvia</t>
        </is>
      </c>
      <c r="D82" t="inlineStr">
        <is>
          <t>February 17th, 2023</t>
        </is>
      </c>
      <c r="E82" t="inlineStr">
        <is>
          <t>17.02.2023</t>
        </is>
      </c>
      <c r="F82" t="n">
        <v>5063212022135</v>
      </c>
      <c r="G82" t="inlineStr">
        <is>
          <t>GX89G2317897</t>
        </is>
      </c>
      <c r="H82" t="inlineStr">
        <is>
          <t>Lo-Fi</t>
        </is>
      </c>
      <c r="I82" t="inlineStr">
        <is>
          <t>2</t>
        </is>
      </c>
      <c r="J82" t="inlineStr">
        <is>
          <t>18</t>
        </is>
      </c>
      <c r="K82" t="inlineStr">
        <is>
          <t>https://soundcloud.com/floatingbluerecords/domenique-sky-linreng-deep-end/s-lppEhii1MZf?si=1c79d404431b4b35a32f01ed5a081104&amp;utm_source=clipboard&amp;utm_medium=text&amp;utm_campaign=social_sharing</t>
        </is>
      </c>
      <c r="L82" t="inlineStr">
        <is>
          <t>Floating Blue Records</t>
        </is>
      </c>
      <c r="M82" t="n">
        <v>2</v>
      </c>
      <c r="N82" t="inlineStr">
        <is>
          <t>Radio</t>
        </is>
      </c>
    </row>
    <row r="83">
      <c r="A83" t="inlineStr">
        <is>
          <t>Domenique Sky, Linreng</t>
        </is>
      </c>
      <c r="B83" t="inlineStr">
        <is>
          <t>Deep End</t>
        </is>
      </c>
      <c r="C83" t="inlineStr">
        <is>
          <t>Latvia</t>
        </is>
      </c>
      <c r="D83" t="inlineStr">
        <is>
          <t>February 17th, 2023</t>
        </is>
      </c>
      <c r="E83" t="inlineStr">
        <is>
          <t>17.02.2023</t>
        </is>
      </c>
      <c r="F83" t="n">
        <v>5063212022135</v>
      </c>
      <c r="G83" t="inlineStr">
        <is>
          <t>GX89G2317897</t>
        </is>
      </c>
      <c r="H83" t="inlineStr">
        <is>
          <t>Lo-Fi</t>
        </is>
      </c>
      <c r="I83" t="inlineStr">
        <is>
          <t>2</t>
        </is>
      </c>
      <c r="J83" t="inlineStr">
        <is>
          <t>18</t>
        </is>
      </c>
      <c r="K83" t="inlineStr">
        <is>
          <t>https://soundcloud.com/floatingbluerecords/domenique-sky-linreng-deep-end/s-lppEhii1MZf?si=1c79d404431b4b35a32f01ed5a081104&amp;utm_source=clipboard&amp;utm_medium=text&amp;utm_campaign=social_sharing</t>
        </is>
      </c>
      <c r="L83" t="inlineStr">
        <is>
          <t>Floating Blue Records</t>
        </is>
      </c>
      <c r="M83" t="n">
        <v>2</v>
      </c>
      <c r="N83" t="inlineStr">
        <is>
          <t>Radio</t>
        </is>
      </c>
    </row>
    <row r="84">
      <c r="A84" t="inlineStr">
        <is>
          <t>Domenique Sky, Linreng</t>
        </is>
      </c>
      <c r="B84" t="inlineStr">
        <is>
          <t>Deep End</t>
        </is>
      </c>
      <c r="C84" t="inlineStr">
        <is>
          <t>Latvia</t>
        </is>
      </c>
      <c r="D84" t="inlineStr">
        <is>
          <t>February 17th, 2023</t>
        </is>
      </c>
      <c r="E84" t="inlineStr">
        <is>
          <t>17.02.2023</t>
        </is>
      </c>
      <c r="F84" t="n">
        <v>5063212022135</v>
      </c>
      <c r="G84" t="inlineStr">
        <is>
          <t>GX89G2317897</t>
        </is>
      </c>
      <c r="H84" t="inlineStr">
        <is>
          <t>Lo-Fi</t>
        </is>
      </c>
      <c r="I84" t="inlineStr">
        <is>
          <t>2</t>
        </is>
      </c>
      <c r="J84" t="inlineStr">
        <is>
          <t>18</t>
        </is>
      </c>
      <c r="K84" t="inlineStr">
        <is>
          <t>https://soundcloud.com/floatingbluerecords/domenique-sky-linreng-deep-end/s-lppEhii1MZf?si=1c79d404431b4b35a32f01ed5a081104&amp;utm_source=clipboard&amp;utm_medium=text&amp;utm_campaign=social_sharing</t>
        </is>
      </c>
      <c r="L84" t="inlineStr">
        <is>
          <t>Floating Blue Records</t>
        </is>
      </c>
      <c r="M84" t="n">
        <v>2</v>
      </c>
      <c r="N84" t="inlineStr">
        <is>
          <t>Radio</t>
        </is>
      </c>
    </row>
  </sheetData>
  <mergeCells count="3">
    <mergeCell ref="O1:T1"/>
    <mergeCell ref="X1:AF1"/>
    <mergeCell ref="AG1:AL1"/>
  </mergeCells>
  <conditionalFormatting sqref="BE3:BE5">
    <cfRule type="duplicateValues" priority="10" dxfId="33"/>
  </conditionalFormatting>
  <conditionalFormatting sqref="BI3:BI5">
    <cfRule type="duplicateValues" priority="9" dxfId="33"/>
  </conditionalFormatting>
  <conditionalFormatting sqref="BN3:BN6">
    <cfRule type="duplicateValues" priority="8" dxfId="33"/>
  </conditionalFormatting>
  <conditionalFormatting sqref="BR3:BR5">
    <cfRule type="duplicateValues" priority="7" dxfId="33"/>
  </conditionalFormatting>
  <conditionalFormatting sqref="BV3:BV5">
    <cfRule type="duplicateValues" priority="6" dxfId="33"/>
  </conditionalFormatting>
  <conditionalFormatting sqref="BZ3:BZ5">
    <cfRule type="duplicateValues" priority="5" dxfId="33"/>
  </conditionalFormatting>
  <conditionalFormatting sqref="BL9:BL15">
    <cfRule type="duplicateValues" priority="4" dxfId="33"/>
  </conditionalFormatting>
  <conditionalFormatting sqref="BM51:BM58">
    <cfRule type="duplicateValues" priority="3" dxfId="33"/>
  </conditionalFormatting>
  <conditionalFormatting sqref="CD3:CD5">
    <cfRule type="duplicateValues" priority="1" dxfId="33"/>
  </conditionalFormatting>
  <pageMargins left="0.75" right="0.75" top="1" bottom="1" header="0.5" footer="0.5"/>
  <pageSetup orientation="portrait"/>
  <legacyDrawing xmlns:r="http://schemas.openxmlformats.org/officeDocument/2006/relationships" r:id="anysvml"/>
  <tableParts count="1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 xmlns:r="http://schemas.openxmlformats.org/officeDocument/2006/relationships" r:id="rId13"/>
    <tablePart xmlns:r="http://schemas.openxmlformats.org/officeDocument/2006/relationships" r:id="rId14"/>
    <tablePart xmlns:r="http://schemas.openxmlformats.org/officeDocument/2006/relationships" r:id="rId15"/>
    <tablePart xmlns:r="http://schemas.openxmlformats.org/officeDocument/2006/relationships" r:id="rId16"/>
    <tablePart xmlns:r="http://schemas.openxmlformats.org/officeDocument/2006/relationships" r:id="rId17"/>
    <tablePart xmlns:r="http://schemas.openxmlformats.org/officeDocument/2006/relationships" r:id="rId18"/>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2022-10-16T20:29:10Z</dcterms:created>
  <dcterms:modified xmlns:dcterms="http://purl.org/dc/terms/" xmlns:xsi="http://www.w3.org/2001/XMLSchema-instance" xsi:type="dcterms:W3CDTF">2023-02-02T10:58:14Z</dcterms:modified>
  <cp:lastModifiedBy>Eldar</cp:lastModifiedBy>
</cp:coreProperties>
</file>